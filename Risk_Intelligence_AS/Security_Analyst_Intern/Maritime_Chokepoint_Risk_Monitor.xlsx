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7e7175af906e3eac/Desktop/BIST/MISR/"/>
    </mc:Choice>
  </mc:AlternateContent>
  <xr:revisionPtr revIDLastSave="14" documentId="11_8A5016E5EF4CFCA73C07698A925D4CAEE0034F50" xr6:coauthVersionLast="47" xr6:coauthVersionMax="47" xr10:uidLastSave="{31597E2B-D0A0-4528-975A-8BD55AF81CDA}"/>
  <bookViews>
    <workbookView xWindow="-108" yWindow="-108" windowWidth="23256" windowHeight="12456" tabRatio="500" xr2:uid="{00000000-000D-0000-FFFF-FFFF00000000}"/>
  </bookViews>
  <sheets>
    <sheet name="DASHBOARD" sheetId="1" r:id="rId1"/>
    <sheet name="CP_OVERVIEW" sheetId="2" r:id="rId2"/>
    <sheet name="RING_ENGINE" sheetId="3" r:id="rId3"/>
    <sheet name="ENV_SCORES" sheetId="4" r:id="rId4"/>
    <sheet name="COUNTRY_RISK" sheetId="5" r:id="rId5"/>
    <sheet name="PILLAR_SCORES" sheetId="6" r:id="rId6"/>
    <sheet name="RAW_INDICATORS" sheetId="7" r:id="rId7"/>
    <sheet name="DATA_CIA" sheetId="8" r:id="rId8"/>
    <sheet name="DATA_ACLED" sheetId="9" r:id="rId9"/>
    <sheet name="DATA_PORTWATCH" sheetId="10" r:id="rId10"/>
    <sheet name="DATA_FSI" sheetId="11" r:id="rId11"/>
    <sheet name="00_CONFIG" sheetId="12" r:id="rId12"/>
    <sheet name="METHODOLOGY"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1" l="1"/>
  <c r="K23" i="1"/>
  <c r="K28" i="1"/>
  <c r="C19" i="12"/>
  <c r="C9" i="12"/>
  <c r="J21" i="3"/>
  <c r="I21" i="3"/>
  <c r="I20" i="3"/>
  <c r="J20" i="3" s="1"/>
  <c r="I32" i="1" s="1"/>
  <c r="J19" i="3"/>
  <c r="I36" i="1" s="1"/>
  <c r="I19" i="3"/>
  <c r="J18" i="3"/>
  <c r="I18" i="3"/>
  <c r="I17" i="3"/>
  <c r="H30" i="1" s="1"/>
  <c r="I16" i="3"/>
  <c r="J16" i="3" s="1"/>
  <c r="I35" i="1" s="1"/>
  <c r="J15" i="3"/>
  <c r="I39" i="1" s="1"/>
  <c r="I15" i="3"/>
  <c r="I14" i="3"/>
  <c r="J14" i="3" s="1"/>
  <c r="I34" i="1" s="1"/>
  <c r="J13" i="3"/>
  <c r="I13" i="3"/>
  <c r="J12" i="3"/>
  <c r="I40" i="1" s="1"/>
  <c r="I12" i="3"/>
  <c r="I11" i="3"/>
  <c r="H26" i="1" s="1"/>
  <c r="I10" i="3"/>
  <c r="J10" i="3" s="1"/>
  <c r="I37" i="1" s="1"/>
  <c r="J9" i="3"/>
  <c r="I9" i="3"/>
  <c r="I8" i="3"/>
  <c r="J8" i="3" s="1"/>
  <c r="I31" i="1" s="1"/>
  <c r="J7" i="3"/>
  <c r="I7" i="3"/>
  <c r="J6" i="3"/>
  <c r="I27" i="1" s="1"/>
  <c r="I6" i="3"/>
  <c r="I5" i="3"/>
  <c r="H33" i="1" s="1"/>
  <c r="I4" i="3"/>
  <c r="J4" i="3" s="1"/>
  <c r="K40" i="1"/>
  <c r="J40" i="1"/>
  <c r="H40" i="1"/>
  <c r="G40" i="1"/>
  <c r="F40" i="1"/>
  <c r="E40" i="1"/>
  <c r="D40" i="1"/>
  <c r="K39" i="1"/>
  <c r="J39" i="1"/>
  <c r="H39" i="1"/>
  <c r="G39" i="1"/>
  <c r="F39" i="1"/>
  <c r="E39" i="1"/>
  <c r="D39" i="1"/>
  <c r="K38" i="1"/>
  <c r="J38" i="1"/>
  <c r="I38" i="1"/>
  <c r="H38" i="1"/>
  <c r="G38" i="1"/>
  <c r="F38" i="1"/>
  <c r="E38" i="1"/>
  <c r="D38" i="1"/>
  <c r="K37" i="1"/>
  <c r="J37" i="1"/>
  <c r="H37" i="1"/>
  <c r="G37" i="1"/>
  <c r="F37" i="1"/>
  <c r="E37" i="1"/>
  <c r="D37" i="1"/>
  <c r="K36" i="1"/>
  <c r="J36" i="1"/>
  <c r="H36" i="1"/>
  <c r="G36" i="1"/>
  <c r="F36" i="1"/>
  <c r="E36" i="1"/>
  <c r="D36" i="1"/>
  <c r="K35" i="1"/>
  <c r="J35" i="1"/>
  <c r="H35" i="1"/>
  <c r="G35" i="1"/>
  <c r="F35" i="1"/>
  <c r="E35" i="1"/>
  <c r="D35" i="1"/>
  <c r="K34" i="1"/>
  <c r="J34" i="1"/>
  <c r="H34" i="1"/>
  <c r="G34" i="1"/>
  <c r="F34" i="1"/>
  <c r="E34" i="1"/>
  <c r="D34" i="1"/>
  <c r="K33" i="1"/>
  <c r="J33" i="1"/>
  <c r="G33" i="1"/>
  <c r="F33" i="1"/>
  <c r="E33" i="1"/>
  <c r="D33" i="1"/>
  <c r="K32" i="1"/>
  <c r="J32" i="1"/>
  <c r="H32" i="1"/>
  <c r="G32" i="1"/>
  <c r="F32" i="1"/>
  <c r="E32" i="1"/>
  <c r="D32" i="1"/>
  <c r="K31" i="1"/>
  <c r="J31" i="1"/>
  <c r="H31" i="1"/>
  <c r="G31" i="1"/>
  <c r="F31" i="1"/>
  <c r="E31" i="1"/>
  <c r="D31" i="1"/>
  <c r="K30" i="1"/>
  <c r="J30" i="1"/>
  <c r="G30" i="1"/>
  <c r="F30" i="1"/>
  <c r="E30" i="1"/>
  <c r="D30" i="1"/>
  <c r="K29" i="1"/>
  <c r="J29" i="1"/>
  <c r="I29" i="1"/>
  <c r="H29" i="1"/>
  <c r="G29" i="1"/>
  <c r="F29" i="1"/>
  <c r="E29" i="1"/>
  <c r="D29" i="1"/>
  <c r="J28" i="1"/>
  <c r="H28" i="1"/>
  <c r="G28" i="1"/>
  <c r="F28" i="1"/>
  <c r="E28" i="1"/>
  <c r="D28" i="1"/>
  <c r="K27" i="1"/>
  <c r="J27" i="1"/>
  <c r="H27" i="1"/>
  <c r="G27" i="1"/>
  <c r="F27" i="1"/>
  <c r="E27" i="1"/>
  <c r="D27" i="1"/>
  <c r="K26" i="1"/>
  <c r="J26" i="1"/>
  <c r="G26" i="1"/>
  <c r="F26" i="1"/>
  <c r="E26" i="1"/>
  <c r="D26" i="1"/>
  <c r="K25" i="1"/>
  <c r="J25" i="1"/>
  <c r="I25" i="1"/>
  <c r="H25" i="1"/>
  <c r="G25" i="1"/>
  <c r="F25" i="1"/>
  <c r="E25" i="1"/>
  <c r="D25" i="1"/>
  <c r="J24" i="1"/>
  <c r="I24" i="1"/>
  <c r="H24" i="1"/>
  <c r="G24" i="1"/>
  <c r="F24" i="1"/>
  <c r="E24" i="1"/>
  <c r="D24" i="1"/>
  <c r="J23" i="1"/>
  <c r="I23" i="1"/>
  <c r="H23" i="1"/>
  <c r="G23" i="1"/>
  <c r="F23" i="1"/>
  <c r="E23" i="1"/>
  <c r="D23" i="1"/>
  <c r="E16" i="1"/>
  <c r="D16" i="1"/>
  <c r="F16" i="1" s="1"/>
  <c r="E15" i="1"/>
  <c r="D15" i="1"/>
  <c r="F15" i="1" s="1"/>
  <c r="C15" i="1"/>
  <c r="E14" i="1"/>
  <c r="D14" i="1"/>
  <c r="F14" i="1" s="1"/>
  <c r="C14" i="1"/>
  <c r="E13" i="1"/>
  <c r="D13" i="1"/>
  <c r="C13" i="1"/>
  <c r="J9" i="1"/>
  <c r="G9" i="1"/>
  <c r="C9" i="1"/>
  <c r="J5" i="1"/>
  <c r="F13" i="1" l="1"/>
  <c r="B19" i="1"/>
  <c r="I28" i="1"/>
  <c r="J6" i="1"/>
  <c r="J5" i="3"/>
  <c r="I33" i="1" s="1"/>
  <c r="J11" i="3"/>
  <c r="I26" i="1" s="1"/>
  <c r="J17" i="3"/>
  <c r="I30" i="1" s="1"/>
</calcChain>
</file>

<file path=xl/sharedStrings.xml><?xml version="1.0" encoding="utf-8"?>
<sst xmlns="http://schemas.openxmlformats.org/spreadsheetml/2006/main" count="1788" uniqueCount="870">
  <si>
    <t>⚓  MARITIME CHOKEPOINT RISK MONITOR</t>
  </si>
  <si>
    <t>LAST UPDATED:</t>
  </si>
  <si>
    <t>Three-Ring Model · Six-Pillar Country Risk · 18 Global Chokepoints</t>
  </si>
  <si>
    <t>▼  SELECT CHOKEPOINT</t>
  </si>
  <si>
    <t>Strait of Hormuz</t>
  </si>
  <si>
    <t>FINAL SCORE</t>
  </si>
  <si>
    <t>BAND</t>
  </si>
  <si>
    <t>▼  CHOKEPOINT PROFILE</t>
  </si>
  <si>
    <t>PRIMARY</t>
  </si>
  <si>
    <t>SURROUNDING</t>
  </si>
  <si>
    <t>INFLUENCERS</t>
  </si>
  <si>
    <t>▼  RING SCORES  |  Weighted contribution to Final</t>
  </si>
  <si>
    <t>Ring</t>
  </si>
  <si>
    <t>Countries</t>
  </si>
  <si>
    <t>Risk Score</t>
  </si>
  <si>
    <t>Weight</t>
  </si>
  <si>
    <t>Contribution</t>
  </si>
  <si>
    <t>Description</t>
  </si>
  <si>
    <t>Ring 1: Primary</t>
  </si>
  <si>
    <t>Physical control of chokepoint</t>
  </si>
  <si>
    <t>Ring 2: Surrounding</t>
  </si>
  <si>
    <t>Littoral neighbors</t>
  </si>
  <si>
    <t>Ring 3: Influencers</t>
  </si>
  <si>
    <t>Great-power geopolitical pressure</t>
  </si>
  <si>
    <t>Ring 4: Environment</t>
  </si>
  <si>
    <t>—</t>
  </si>
  <si>
    <t>Weather (ERA5) · geography · bypass (0-100 scaled)</t>
  </si>
  <si>
    <t>▼  RECOMMENDED ACTION</t>
  </si>
  <si>
    <t>▼  ALL 18 CHOKEPOINTS — Ranked by Final Score</t>
  </si>
  <si>
    <t>#</t>
  </si>
  <si>
    <t>Chokepoint</t>
  </si>
  <si>
    <t>R1</t>
  </si>
  <si>
    <t>R2</t>
  </si>
  <si>
    <t>R3</t>
  </si>
  <si>
    <t>Env</t>
  </si>
  <si>
    <t>SCORE</t>
  </si>
  <si>
    <t>Bypass</t>
  </si>
  <si>
    <t>Notes</t>
  </si>
  <si>
    <t>Bab el-Mandeb</t>
  </si>
  <si>
    <t>Northern Sea Route</t>
  </si>
  <si>
    <t>Bosphorus / Turkish Straits</t>
  </si>
  <si>
    <t>Cape of Good Hope</t>
  </si>
  <si>
    <t>Suez Canal</t>
  </si>
  <si>
    <t>Windward Passage</t>
  </si>
  <si>
    <t>Florida Straits</t>
  </si>
  <si>
    <t>Panama Canal</t>
  </si>
  <si>
    <t>Cape Horn</t>
  </si>
  <si>
    <t>Strait of Malacca</t>
  </si>
  <si>
    <t>Korea Strait</t>
  </si>
  <si>
    <t>Sunda Strait</t>
  </si>
  <si>
    <t>Strait of Magellan</t>
  </si>
  <si>
    <t>Strait of Gibraltar</t>
  </si>
  <si>
    <t>Taiwan Strait</t>
  </si>
  <si>
    <t>Lombok Strait</t>
  </si>
  <si>
    <t>Danish Straits</t>
  </si>
  <si>
    <t>CP_OVERVIEW  |  Chokepoint Definitions · Three-Ring Country Assignments</t>
  </si>
  <si>
    <t>Ring 1 = physical controllers · Ring 2 = adjacent · Ring 3 = outside · Env = 0-10 hazard</t>
  </si>
  <si>
    <t>Env
(0-10)</t>
  </si>
  <si>
    <t>Bypass Route</t>
  </si>
  <si>
    <t>Iran, Oman</t>
  </si>
  <si>
    <t>United Arab Emirates, Saudi Arabia, Qatar, Bahrain, Kuwait, Iraq</t>
  </si>
  <si>
    <t>United States, China, Russia, United Kingdom</t>
  </si>
  <si>
    <t>None</t>
  </si>
  <si>
    <t>~21 Mbbl/day oil transit. Iranian closure = immediate global oil shock.</t>
  </si>
  <si>
    <t>Malaysia, Indonesia, Singapore</t>
  </si>
  <si>
    <t>Thailand, Vietnam</t>
  </si>
  <si>
    <t>China, United States, Japan, India, Australia</t>
  </si>
  <si>
    <t>Lombok / Sunda Strait</t>
  </si>
  <si>
    <t>Busiest chokepoint by vessel count. Piracy historically significant.</t>
  </si>
  <si>
    <t>Egypt</t>
  </si>
  <si>
    <t>Israel, Saudi Arabia, Jordan, Libya</t>
  </si>
  <si>
    <t>United States, China, France, Russia</t>
  </si>
  <si>
    <t>~100 ships/day. Houthi threat diverting traffic to Cape.</t>
  </si>
  <si>
    <t>Yemen, Djibouti, Eritrea</t>
  </si>
  <si>
    <t>Saudi Arabia, Somalia, Ethiopia</t>
  </si>
  <si>
    <t>United States, Iran, China, France, Saudi Arabia</t>
  </si>
  <si>
    <t>Active conflict zone. Houthi missile/drone threat since Oct 2023. Undersea cables, 25% of global data traffic between Asia and Europe.</t>
  </si>
  <si>
    <t>Panama</t>
  </si>
  <si>
    <t>Colombia, Costa Rica, United States</t>
  </si>
  <si>
    <t>United States, China</t>
  </si>
  <si>
    <t>Cape Horn / Strait of Magellan</t>
  </si>
  <si>
    <t>2023-24 drought cut capacity 30%. China port influence growing.</t>
  </si>
  <si>
    <t>Turkey</t>
  </si>
  <si>
    <t>Bulgaria, Romania, Ukraine, Russia, Georgia</t>
  </si>
  <si>
    <t>United States, Russia, France, United Kingdom</t>
  </si>
  <si>
    <t>Russian Black Sea Fleet access via Turkey under 1936 Montreux Convention.</t>
  </si>
  <si>
    <t>Spain, Morocco, United Kingdom</t>
  </si>
  <si>
    <t>Portugal, Algeria</t>
  </si>
  <si>
    <t>United States, France, Morocco</t>
  </si>
  <si>
    <t>Atlantic open ocean</t>
  </si>
  <si>
    <t>NATO-monitored. Gibraltar sovereignty periodically contested.</t>
  </si>
  <si>
    <t>South Africa</t>
  </si>
  <si>
    <t>Namibia, Mozambique, Madagascar</t>
  </si>
  <si>
    <t>China, United States, France, India</t>
  </si>
  <si>
    <t>Primary bypass route</t>
  </si>
  <si>
    <t>Not a chokepoint per se — the bypass route. Risk = SA stability.</t>
  </si>
  <si>
    <t>Denmark, Sweden</t>
  </si>
  <si>
    <t>Germany, Poland, Norway, Finland, Russia</t>
  </si>
  <si>
    <t>United States, Russia, United Kingdom, France</t>
  </si>
  <si>
    <t>Russian Baltic Fleet passage. NATO Article 5 littoral states.</t>
  </si>
  <si>
    <t>Taiwan, China</t>
  </si>
  <si>
    <t>Philippines, Japan</t>
  </si>
  <si>
    <t>United States, Japan, Australia, South Korea, India</t>
  </si>
  <si>
    <t>Philippine Sea (east of Taiwan)</t>
  </si>
  <si>
    <t>Military flashpoint. ~50% global semiconductor supply chain at stake.</t>
  </si>
  <si>
    <t>South Korea, Japan</t>
  </si>
  <si>
    <t>North Korea</t>
  </si>
  <si>
    <t>United States, China, Russia</t>
  </si>
  <si>
    <t>Sea of Japan / Pacific</t>
  </si>
  <si>
    <t>DPRK missile overflight risk. High US/JMSDF presence.</t>
  </si>
  <si>
    <t>Indonesia</t>
  </si>
  <si>
    <t>Australia</t>
  </si>
  <si>
    <t>China, United States, Japan, Australia</t>
  </si>
  <si>
    <t>Malacca Strait</t>
  </si>
  <si>
    <t>Primary deep-water Malacca bypass for tankers/carriers.</t>
  </si>
  <si>
    <t>China, United States</t>
  </si>
  <si>
    <t>Secondary bypass. Krakatoa geological hazard zone.</t>
  </si>
  <si>
    <t>United States, Cuba, Bahamas</t>
  </si>
  <si>
    <t>Mexico</t>
  </si>
  <si>
    <t>Gulf of Mexico interior</t>
  </si>
  <si>
    <t>Key Gulf of Mexico energy transit. Cuba–China cooperation concern.</t>
  </si>
  <si>
    <t>Cuba, Haiti</t>
  </si>
  <si>
    <t>Jamaica, Dominican Republic</t>
  </si>
  <si>
    <t>Yucatan Channel</t>
  </si>
  <si>
    <t>Haiti instability affects maritime security monitoring.</t>
  </si>
  <si>
    <t>Chile, Argentina</t>
  </si>
  <si>
    <t>Chile</t>
  </si>
  <si>
    <t>United States, China, United Kingdom</t>
  </si>
  <si>
    <t>Drake Passage</t>
  </si>
  <si>
    <t>Rough weather limits use. Emergency Antarctica routing.</t>
  </si>
  <si>
    <t>Argentina</t>
  </si>
  <si>
    <t>United States, United Kingdom, China</t>
  </si>
  <si>
    <t>Extreme weather. Last-resort route. Low control risk (open ocean).</t>
  </si>
  <si>
    <t>Russia</t>
  </si>
  <si>
    <t>Norway, Canada, United States</t>
  </si>
  <si>
    <t>China, France, Japan</t>
  </si>
  <si>
    <t>Traditional Suez / Panama lanes</t>
  </si>
  <si>
    <t>Ice-dependent. Russian icebreaker monopoly. China Arctic interest growing.</t>
  </si>
  <si>
    <t>RING_ENGINE  |  Averages COUNTRY_RISK per Ring · Weighted Final Score</t>
  </si>
  <si>
    <t>R1/R2/R3 scores = mean of Country Risk Scores in that ring · Final = R1×50% + R2×25% + R3×15% + Env×10%</t>
  </si>
  <si>
    <t>Ring 1 Countries</t>
  </si>
  <si>
    <t>Ring 2 Countries</t>
  </si>
  <si>
    <t>Ring 3 Countries</t>
  </si>
  <si>
    <t>R1 Score</t>
  </si>
  <si>
    <t>R2 Score</t>
  </si>
  <si>
    <t>R3 Score</t>
  </si>
  <si>
    <t>Env×10</t>
  </si>
  <si>
    <t>FINAL</t>
  </si>
  <si>
    <t>None (no bypass exists)</t>
  </si>
  <si>
    <t>Geography: HyperVolatility + IMO/BIMCO  ·  Weather: ERA5 2023-2026 (ECMWF Copernicus)  ·  Bypass: Fixed analytical assignment</t>
  </si>
  <si>
    <t>Width
(nm)</t>
  </si>
  <si>
    <t>Depth
(m)</t>
  </si>
  <si>
    <t>Lanes</t>
  </si>
  <si>
    <t>GEO
(0-100)</t>
  </si>
  <si>
    <t>SWH
(m)</t>
  </si>
  <si>
    <t>Wind
(m/s)</t>
  </si>
  <si>
    <t>WEATHER
(0-100)</t>
  </si>
  <si>
    <t>BYPASS
(0-100)</t>
  </si>
  <si>
    <t>ENV
(0-100)</t>
  </si>
  <si>
    <t>ENV
(0-10)</t>
  </si>
  <si>
    <t>MODERATE</t>
  </si>
  <si>
    <t>HIGH</t>
  </si>
  <si>
    <t>ELEVATED</t>
  </si>
  <si>
    <t>LOW</t>
  </si>
  <si>
    <t>COUNTRY_RISK  |  ACLED Conflict Metrics + Six-Pillar Aggregates</t>
  </si>
  <si>
    <t>Left block: raw ACLED counts. Right block: normalized pillar sub-scores. Country Risk = weighted average per 00_CONFIG.</t>
  </si>
  <si>
    <t>Country</t>
  </si>
  <si>
    <t>ISO2</t>
  </si>
  <si>
    <t>PV Events
2024–2026</t>
  </si>
  <si>
    <t>PV Events
2026</t>
  </si>
  <si>
    <t>Fatalities
2024–2026</t>
  </si>
  <si>
    <t>Civilian
Events 2024–2026</t>
  </si>
  <si>
    <t>P1 Gov</t>
  </si>
  <si>
    <t>P2 Econ</t>
  </si>
  <si>
    <t>P3 Sec</t>
  </si>
  <si>
    <t>P4 Stab</t>
  </si>
  <si>
    <t>P5 Ext</t>
  </si>
  <si>
    <t>P6 Infra</t>
  </si>
  <si>
    <t>COUNTRY
RISK</t>
  </si>
  <si>
    <t>Algeria</t>
  </si>
  <si>
    <t>DZ</t>
  </si>
  <si>
    <t>AR</t>
  </si>
  <si>
    <t>AU</t>
  </si>
  <si>
    <t>Bahamas</t>
  </si>
  <si>
    <t>BS</t>
  </si>
  <si>
    <t>Bahrain</t>
  </si>
  <si>
    <t>BH</t>
  </si>
  <si>
    <t>Bulgaria</t>
  </si>
  <si>
    <t>BG</t>
  </si>
  <si>
    <t>Canada</t>
  </si>
  <si>
    <t>CA</t>
  </si>
  <si>
    <t>CL</t>
  </si>
  <si>
    <t>China</t>
  </si>
  <si>
    <t>CN</t>
  </si>
  <si>
    <t>Colombia</t>
  </si>
  <si>
    <t>CO</t>
  </si>
  <si>
    <t>Costa Rica</t>
  </si>
  <si>
    <t>CR</t>
  </si>
  <si>
    <t>Cuba</t>
  </si>
  <si>
    <t>CU</t>
  </si>
  <si>
    <t>Denmark</t>
  </si>
  <si>
    <t>DK</t>
  </si>
  <si>
    <t>Djibouti</t>
  </si>
  <si>
    <t>DJ</t>
  </si>
  <si>
    <t>Dominican Republic</t>
  </si>
  <si>
    <t>DO</t>
  </si>
  <si>
    <t>EG</t>
  </si>
  <si>
    <t>Eritrea</t>
  </si>
  <si>
    <t>ER</t>
  </si>
  <si>
    <t>Ethiopia</t>
  </si>
  <si>
    <t>ET</t>
  </si>
  <si>
    <t>Finland</t>
  </si>
  <si>
    <t>FI</t>
  </si>
  <si>
    <t>France</t>
  </si>
  <si>
    <t>FR</t>
  </si>
  <si>
    <t>Georgia</t>
  </si>
  <si>
    <t>GE</t>
  </si>
  <si>
    <t>Germany</t>
  </si>
  <si>
    <t>DE</t>
  </si>
  <si>
    <t>Haiti</t>
  </si>
  <si>
    <t>HT</t>
  </si>
  <si>
    <t>India</t>
  </si>
  <si>
    <t>IN</t>
  </si>
  <si>
    <t>ID</t>
  </si>
  <si>
    <t>Iran</t>
  </si>
  <si>
    <t>IR</t>
  </si>
  <si>
    <t>Iraq</t>
  </si>
  <si>
    <t>IQ</t>
  </si>
  <si>
    <t>Israel</t>
  </si>
  <si>
    <t>IL</t>
  </si>
  <si>
    <t>Jamaica</t>
  </si>
  <si>
    <t>JM</t>
  </si>
  <si>
    <t>Japan</t>
  </si>
  <si>
    <t>JP</t>
  </si>
  <si>
    <t>Jordan</t>
  </si>
  <si>
    <t>JO</t>
  </si>
  <si>
    <t>Kuwait</t>
  </si>
  <si>
    <t>KW</t>
  </si>
  <si>
    <t>Libya</t>
  </si>
  <si>
    <t>LY</t>
  </si>
  <si>
    <t>Madagascar</t>
  </si>
  <si>
    <t>MG</t>
  </si>
  <si>
    <t>Malaysia</t>
  </si>
  <si>
    <t>MY</t>
  </si>
  <si>
    <t>MX</t>
  </si>
  <si>
    <t>Morocco</t>
  </si>
  <si>
    <t>MA</t>
  </si>
  <si>
    <t>Mozambique</t>
  </si>
  <si>
    <t>MZ</t>
  </si>
  <si>
    <t>Namibia</t>
  </si>
  <si>
    <t>NA</t>
  </si>
  <si>
    <t>KP</t>
  </si>
  <si>
    <t>Norway</t>
  </si>
  <si>
    <t>NO</t>
  </si>
  <si>
    <t>Oman</t>
  </si>
  <si>
    <t>OM</t>
  </si>
  <si>
    <t>PA</t>
  </si>
  <si>
    <t>Philippines</t>
  </si>
  <si>
    <t>PH</t>
  </si>
  <si>
    <t>Poland</t>
  </si>
  <si>
    <t>PL</t>
  </si>
  <si>
    <t>Portugal</t>
  </si>
  <si>
    <t>PT</t>
  </si>
  <si>
    <t>Qatar</t>
  </si>
  <si>
    <t>QA</t>
  </si>
  <si>
    <t>Romania</t>
  </si>
  <si>
    <t>RO</t>
  </si>
  <si>
    <t>RU</t>
  </si>
  <si>
    <t>Saudi Arabia</t>
  </si>
  <si>
    <t>SA</t>
  </si>
  <si>
    <t>Singapore</t>
  </si>
  <si>
    <t>SG</t>
  </si>
  <si>
    <t>Somalia</t>
  </si>
  <si>
    <t>SO</t>
  </si>
  <si>
    <t>CRITICAL</t>
  </si>
  <si>
    <t>ZA</t>
  </si>
  <si>
    <t>South Korea</t>
  </si>
  <si>
    <t>KR</t>
  </si>
  <si>
    <t>Spain</t>
  </si>
  <si>
    <t>ES</t>
  </si>
  <si>
    <t>Sweden</t>
  </si>
  <si>
    <t>SE</t>
  </si>
  <si>
    <t>Taiwan</t>
  </si>
  <si>
    <t>TW</t>
  </si>
  <si>
    <t>Thailand</t>
  </si>
  <si>
    <t>TH</t>
  </si>
  <si>
    <t>TR</t>
  </si>
  <si>
    <t>Ukraine</t>
  </si>
  <si>
    <t>UA</t>
  </si>
  <si>
    <t>United Arab Emirates</t>
  </si>
  <si>
    <t>AE</t>
  </si>
  <si>
    <t>United Kingdom</t>
  </si>
  <si>
    <t>GB</t>
  </si>
  <si>
    <t>United States</t>
  </si>
  <si>
    <t>US</t>
  </si>
  <si>
    <t>Vietnam</t>
  </si>
  <si>
    <t>VN</t>
  </si>
  <si>
    <t>Yemen</t>
  </si>
  <si>
    <t>YE</t>
  </si>
  <si>
    <t>PILLAR_SCORES  |  Six Normalized Pillar Sub-Scores + Weighted Country Risk</t>
  </si>
  <si>
    <t>P1: Gov</t>
  </si>
  <si>
    <t>P2: Econ</t>
  </si>
  <si>
    <t>P3: Sec</t>
  </si>
  <si>
    <t>P4: Stab</t>
  </si>
  <si>
    <t>P5: Ext</t>
  </si>
  <si>
    <t>P6: Infra</t>
  </si>
  <si>
    <t>N/A</t>
  </si>
  <si>
    <t>RAW_INDICATORS  |  All Source Values Before Scoring</t>
  </si>
  <si>
    <t xml:space="preserve">Every raw value from every source, one row per country. </t>
  </si>
  <si>
    <t>CPI</t>
  </si>
  <si>
    <t>Democracy</t>
  </si>
  <si>
    <t>Rule of Law</t>
  </si>
  <si>
    <t>Freedom</t>
  </si>
  <si>
    <t>GDP/cap USD</t>
  </si>
  <si>
    <t>Inflation %</t>
  </si>
  <si>
    <t>Unemp %</t>
  </si>
  <si>
    <t>Debt/GDP %</t>
  </si>
  <si>
    <t>GPI</t>
  </si>
  <si>
    <t>Terror Idx</t>
  </si>
  <si>
    <t>Mil %GDP</t>
  </si>
  <si>
    <t>PV Events 3yr</t>
  </si>
  <si>
    <t>Pol Stab %ile</t>
  </si>
  <si>
    <t>FSI Total</t>
  </si>
  <si>
    <t>Electricity %</t>
  </si>
  <si>
    <t>DATA_CIA  |  CIA World Factbook: Chokepoint Countries Only</t>
  </si>
  <si>
    <t>Static reference layer. Sourced from my CIA_FACTBOOK.xlsm (scraped the entire site with VBA before it was discountinued).</t>
  </si>
  <si>
    <t>Location</t>
  </si>
  <si>
    <t>Economic Overview</t>
  </si>
  <si>
    <t>Military &amp; Security</t>
  </si>
  <si>
    <t>GDP (PPP)</t>
  </si>
  <si>
    <t>Urbanization</t>
  </si>
  <si>
    <t>Electricity Access</t>
  </si>
  <si>
    <t>Airports</t>
  </si>
  <si>
    <t>Northern Africa, bordering the Mediterranean Sea, between Morocco and Tunisia</t>
  </si>
  <si>
    <t>suffering oil and gas economy; lack of sector and market diversification; political instability chilling domestic consumption; poor credit access and declines in business confidence; COVID-19 austerity policies; delayed promised socio-economic reforms</t>
  </si>
  <si>
    <t>Algerian People's National Army (ANP): Land Forces, Naval Forces (includes Coast Guard), Air Forces, Territorial Air Defense Forces, Republican Guard, National GendarmerieMinistry of Interior: General Directorate of National Security (national police) (2025) note: the Republican Guard is subordinate to the ANP, but responsible to the President; the</t>
  </si>
  <si>
    <t>$699.818 billion (2023 est.) $672.256 billion (2022 est.) $648.896 billion (2021 est.) note: data in 2021 dollars</t>
  </si>
  <si>
    <t>urban population: 75.3% of total population (2023) rate of urbanization: 1.99% annual rate of change (2020-25 est.)</t>
  </si>
  <si>
    <t>electrification - total population: 100% (2022 est.) electrification - urban areas: 100% electrification - rural areas: 99.3%</t>
  </si>
  <si>
    <t>Africa</t>
  </si>
  <si>
    <t>Southern South America, bordering the South Atlantic Ocean, between Chile and Uruguay</t>
  </si>
  <si>
    <t>large diversified economy; financial risks from debt obligations, rapid inflation, and reduced investor appetites; resource-rich, export-led growth model; increasing trade relations with China; G20 and OAS leader; tendency to nationalize businesses and under-report inflation</t>
  </si>
  <si>
    <t>Armed Forces of the Argentine Republic (Fuerzas Armadas de la Rep&amp;uacute;blica Argentina): Argentine Army (Ejercito Argentino, EA), Navy of the Argentine Republic (Armada Republica, ARA; includes naval aviation and naval infantry), Argentine Air Force (Fuerza Aerea Argentina, FAA)Ministry of Security: Gendarmer&amp;iacute;a Nacional Argentina (National</t>
  </si>
  <si>
    <t>$1.234 trillion (2023 est.) $1.255 trillion (2022 est.) $1.192 trillion (2021 est.) note: data in 2021 dollars</t>
  </si>
  <si>
    <t>urban population: 92.5% of total population (2023) rate of urbanization: 0.97% annual rate of change (2020-25 est.)</t>
  </si>
  <si>
    <t>electrification - total population: 100% (2022 est.)</t>
  </si>
  <si>
    <t>South America</t>
  </si>
  <si>
    <t>Oceania, continent between the Indian Ocean and the South Pacific Ocean</t>
  </si>
  <si>
    <t>high-income and globally integrated economy; strong mining, manufacturing, and service sectors driving slow but steady growth; net exporter, driven by commodities to East Asian trade partners; weak productivity and aging population straining labor force participation</t>
  </si>
  <si>
    <t>Australian Defense Force (ADF): Australian Army, Royal Australian Navy, Royal Australian Air Force (2025) note: the Australian Federal Police (AFP) is an independent agency of the Attorney-General&amp;rsquo;s Department; the AFP, state, and territorial police forces are responsible for internal security; the Australian Border Force (ABF) is under the D</t>
  </si>
  <si>
    <t>$1.588 trillion (2023 est.) $1.535 trillion (2022 est.) $1.472 trillion (2021 est.) note: data in 2021 dollars</t>
  </si>
  <si>
    <t xml:space="preserve">urban population: 86.6% of total population (2023) rate of urbanization: 1.27% annual rate of change (2020-25 est.) note: data include Christmas Island, Cocos Islands, and Norfolk </t>
  </si>
  <si>
    <t>Australia and Oceania</t>
  </si>
  <si>
    <t>chain of islands in the North Atlantic Ocean, southeast of Florida, northeast of Cuba; note - although The Bahamas does not border the Caribbean Sea, geopolitically it is often designated as a Caribbe</t>
  </si>
  <si>
    <t>high-income tourism and financial services economy; major income inequality; strong US bilateral relations; several tax relief programs; targeted investment in agriculture, energy, light manufacturing, and technology industries</t>
  </si>
  <si>
    <t>Royal Bahamas Defense Force (RBDF): includes land, air, maritime elements; Royal Bahamas Police Force (RBPF) (2025) note: the RBPF maintains internal security; both the RBDF and the RBPF, as well as the Department of Corrections, report to the Minister of National Security</t>
  </si>
  <si>
    <t>$13.224 billion (2023 est.) $12.884 billion (2022 est.) $11.63 billion (2021 est.) note: data in 2021 dollars</t>
  </si>
  <si>
    <t>urban population: 83.6% of total population (2023) rate of urbanization: 1.02% annual rate of change (2020-25 est.)</t>
  </si>
  <si>
    <t>Central America and the Caribbean</t>
  </si>
  <si>
    <t>Middle East, archipelago in the Persian Gulf, east of Saudi Arabia</t>
  </si>
  <si>
    <t>high-income, growing Middle Eastern island economy; oil and aluminum exporter with diversification led by services, construction and manufacturing; regional finance and tourism hub; high public debt linked to oil revenue dependence and limited tax base; vulnerable to water reservoir depletion</t>
  </si>
  <si>
    <t>Bahrain Defense Force (BDF): Royal Bahraini Army (includes the Royal Guard), Royal Bahraini Navy, Royal Bahraini Air ForceMinistry of Interior: National Guard, Special Security Forces Command (SSFC), Coast Guard&lt;span style=\</t>
  </si>
  <si>
    <t>$90.228 billion (2023 est.) $87.617 billion (2022 est.) $82.672 billion (2021 est.) note: data in 2021 dollars</t>
  </si>
  <si>
    <t>urban population: 89.9% of total population (2023) rate of urbanization: 1.99% annual rate of change (2020-25 est.)</t>
  </si>
  <si>
    <t>Middle East</t>
  </si>
  <si>
    <t>Southeastern Europe, bordering the Black Sea, between Romania and Turkey</t>
  </si>
  <si>
    <t>upper-middle-income EU economy; currency pegged to the euro, with eurozone accession pending; declining energy prices helping lower inflation rate; EU structural funds contributing to investment recovery; skilled labor shortage driven by emigration and aging population</t>
  </si>
  <si>
    <t>Bulgarian Armed Forces (aka Bulgarian Army): Land Forces, Air Force, NavyMinistry of Interior: General Directorate National Police (GDNP), General Directorate Border Police (GDBP), Special Unit for Combating Terrorism (SOBT) (2025) note 1: the Bulgarian military also has a Joint Special Operations Command, a Logistic Support Command, and a Communic</t>
  </si>
  <si>
    <t>$215.338 billion (2023 est.) $211.35 billion (2022 est.) $203.146 billion (2021 est.) note: data in 2021 dollars</t>
  </si>
  <si>
    <t>urban population: 76.7% of total population (2023) rate of urbanization: -0.28% annual rate of change (2020-25 est.)</t>
  </si>
  <si>
    <t>electrification - total population: 100% (2022 est.) electrification - urban areas: 100% electrification - rural areas: 99.6%</t>
  </si>
  <si>
    <t>Europe</t>
  </si>
  <si>
    <t>Northern North America, bordering the North Atlantic Ocean on the east, North Pacific Ocean on the west, and the Arctic Ocean on the north, north of the conterminous US</t>
  </si>
  <si>
    <t>high-income economy and second-largest US trading partner; key timber, oil, and gas industries; trade uncertainties and weak business investments contributing to economic slowdown; high and growing public debt; inflation moderating but remains above target range</t>
  </si>
  <si>
    <t xml:space="preserve">Canadian Forces: Canadian Army, Royal Canadian Navy, Royal Canadian Air Force (2025) note 1: the CAF is comprised of both a Regular Force and a Reserve Force; the Reserve Force is comprised of the Primary Reserve, Canadian Rangers, Cadet Organizations Administration and Training Service, and the Supplementary Reserve; the Canadian Rangers are part </t>
  </si>
  <si>
    <t>$2.242 trillion (2023 est.) $2.215 trillion (2022 est.) $2.133 trillion (2021 est.) note: data in 2021 dollars</t>
  </si>
  <si>
    <t>urban population: 81.9% of total population (2023) rate of urbanization: 0.95% annual rate of change (2020-25 est.)</t>
  </si>
  <si>
    <t>North America</t>
  </si>
  <si>
    <t>Southern South America, bordering the South Pacific Ocean, between Argentina and Peru</t>
  </si>
  <si>
    <t>export-driven economy; leading copper producer; though hit by COVID-19, fairly quick rebound from increased liquidity and rapid vaccine rollouts; decreasing poverty but still lingering inequality; public debt rising but still manageable; recent political violence has had negative economic consequences</t>
  </si>
  <si>
    <t>Armed Forces of Chile (&lt;span class=\</t>
  </si>
  <si>
    <t>$579.201 billion (2023 est.) $577.937 billion (2022 est.) $566.279 billion (2021 est.) note: data in 2021 dollars</t>
  </si>
  <si>
    <t>urban population: 88% of total population (2023) rate of urbanization: 0.78% annual rate of change (2020-25 est.)</t>
  </si>
  <si>
    <t>Eastern Asia, bordering the East China Sea, Korea Bay, Yellow Sea, and South China Sea, between North Korea and Vietnam</t>
  </si>
  <si>
    <t>world&amp;rsquo;s second-largest economy by nominal GDP; global leader in exports and manufacturing; historically strong growth slowing; challenges of aging workforce, weak productivity, rising youth unemployment, struggling property sector, and public debt; state-sponsored economic controls and infrastructure investments</t>
  </si>
  <si>
    <t>People's Liberation Army (PLA): Ground Forces or People's Liberation Army Army (PLAA), Navy (PLAN, includes Marine Corps (PLANMC)), Air Force (PLAAF), Rocket Force (PLARF), Aerospace Force (ASF), Cyberspace Force (CSF), Information Support Force (ISF), Joint Logistics Support Force (JLSF), People's Armed Police (PAP, includes Coast Guard, Border De</t>
  </si>
  <si>
    <t>$31.23 trillion (2023 est.) $29.672 trillion (2022 est.) $28.822 trillion (2021 est.) note: data in 2021 dollars</t>
  </si>
  <si>
    <t>urban population: 64.6% of total population (2023) rate of urbanization: 1.78% annual rate of change (2020-25 est.) note: data do not include Hong Kong and Macau</t>
  </si>
  <si>
    <t>East and Southeast Asia</t>
  </si>
  <si>
    <t>Northern South America, bordering the Caribbean Sea, between Panama and Venezuela, and bordering the North Pacific Ocean, between Ecuador and Panama</t>
  </si>
  <si>
    <t>prior to COVID-19, one of the most consistent growth economies; declining poverty; large stimulus package has mitigated economic fallout, but delayed key infrastructure investments; successful inflation management; sound flexible exchange rate regime; domestic economy suffers from lack of trade integration and infrastructure</t>
  </si>
  <si>
    <t>Military Forces of Colombia (Fuerzas Militares de Colombia&lt;em lang=\</t>
  </si>
  <si>
    <t>$978.007 billion (2023 est.) $972.073 billion (2022 est.) $906.034 billion (2021 est.) note: data in 2021 dollars</t>
  </si>
  <si>
    <t>urban population: 82.4% of total population (2023) rate of urbanization: 1.01% annual rate of change (2020-25 est.)</t>
  </si>
  <si>
    <t>Central America, bordering both the Caribbean Sea and the North Pacific Ocean, between Nicaragua and Panama</t>
  </si>
  <si>
    <t>trade-based upper middle-income economy; green economy leader, having reversed deforestation; investing in blue economy infrastructure; declining poverty until hard impacts of COVID-19; lingering inequality and growing government debts have prompted a liquidity crisis</t>
  </si>
  <si>
    <t>Ministry of Public Security (Ministerio de Seguridad P&amp;uacute;blica de Costa Rica): National Police (Fuerza P&amp;uacute;blica), Air Surveillance Service (Servicio de Vigilancia A&amp;eacute;rea), National Coast Guard Service (Servicio Nacional de Guardacostas), Drug Control Police (Polic&amp;iacute;a Control de Drogas), Border Police (Policia de Fronteras), P</t>
  </si>
  <si>
    <t>$134.238 billion (2023 est.) $127.71 billion (2022 est.) $122.15 billion (2021 est.) note: data in 2021 dollars</t>
  </si>
  <si>
    <t>urban population: 82.6% of total population (2023) rate of urbanization: 1.5% annual rate of change (2020-25 est.)</t>
  </si>
  <si>
    <t>Caribbean, island between the Caribbean Sea and the North Atlantic Ocean, 150 km south of Key West, Florida</t>
  </si>
  <si>
    <t>still largely state-run planned economy, although privatization increasing under new constitution; widespread protests due to lack of basic necessities and electricity; massive foreign investment increases recently; known tobacco exporter; unique oil-for-doctors relationship with Venezuela; widespread corruption</t>
  </si>
  <si>
    <t>Revolutionary Armed Forces (Fuerzas Armadas Revolucionarias, FAR): Ground Troops (Tropas Terrestres), Revolutionary Navy (Marina de Guerra Revolucionaria, MGR), Revolutionary Air and Air Defense Forces (Defensas Anti-Aereas y Fuerza Aerea Revolucionaria, DAAFAR)Paramilitary forces under the FAR: Youth Labor Army (Ejercito Juvenil del Trabajo, EJT),</t>
  </si>
  <si>
    <t>$137 billion (2017 est.) $134.8 billion (2016 est.) $134.2 billion (2015 est.) note: data are in 2016 dollars</t>
  </si>
  <si>
    <t>urban population: 77.5% of total population (2023) rate of urbanization: 0.19% annual rate of change (2020-25 est.)</t>
  </si>
  <si>
    <t>Northern Europe, bordering the Baltic Sea and the North Sea, on a peninsula north of Germany (Jutland); also includes several major islands (Sjaelland, Fyn, and Bornholm)</t>
  </si>
  <si>
    <t>high-income, EU-member, trade-oriented Nordic economy; growth driven by pharmaceuticals, energy, and services; large share of employment in public sector; fixed exchange rate pegged to euro; strong fiscal position and declining public debt; tight labor market mitigated by migrant workers and higher retirement age</t>
  </si>
  <si>
    <t>Danish Armed Forces (Forsvaret): Royal Danish Army, Royal Danish Navy, Royal Danish Air Force (2025)</t>
  </si>
  <si>
    <t>$428.759 billion (2023 est.) $418.321 billion (2022 est.) $411.976 billion (2021 est.) note: data in 2021 dollars</t>
  </si>
  <si>
    <t>urban population: 88.5% of total population (2023) rate of urbanization: 0.54% annual rate of change (2020-25 est.)</t>
  </si>
  <si>
    <t>Eastern Africa, bordering the Gulf of Aden and the Red Sea, between Eritrea and Somalia</t>
  </si>
  <si>
    <t>food import-dependent Horn of Africa economy driven by various national military bases and port-based trade; fairly resilient from COVID-19 disruptions; major re-exporter; increasing Ethiopian and Chinese trade relations; investing in infrastructure</t>
  </si>
  <si>
    <t xml:space="preserve">Djibouti Armed Forces (Forces Arm&amp;eacute;es Djiboutiennes or FAD): Djiboutian (or National) Army, Djiboutian Navy (includes Djiboutian Coast Guard), Djiboutian Air Force; Djiboutian National GendarmerieMinistry of Interior: National Police (Police Nationale) (2025) note 1: the National Gendarmerie is a security force with military status under the </t>
  </si>
  <si>
    <t>$7.38 billion (2023 est.) $6.918 billion (2022 est.) $6.669 billion (2021 est.) note: data in 2021 dollars</t>
  </si>
  <si>
    <t>urban population: 78.6% of total population (2023) rate of urbanization: 1.56% annual rate of change (2020-25 est.)</t>
  </si>
  <si>
    <t>electrification - total population: 65% (2022 est.) electrification - urban areas: 72.8% electrification - rural areas: 36.6%</t>
  </si>
  <si>
    <t>Caribbean, eastern two-thirds of the island of Hispaniola, between the Caribbean Sea and the North Atlantic Ocean, east of Haiti</t>
  </si>
  <si>
    <t>surging middle-income tourism, construction, mining, and telecommunications OECS economy; major foreign US direct investment and free-trade zones; developing local financial markets; improving debt management; declining poverty</t>
  </si>
  <si>
    <t xml:space="preserve">Armed Forces of the Dominican Republic: Army of the Dominican Republic (Ejercito de la Rep&amp;uacute;blica Dominicana, ERD), Navy (Armada de Rep&amp;uacute;blica Dominicana or ARD; includes naval infantry), Dominican Air Force (Fuerza Aerea de la Rep&amp;uacute;blica Dominicana, FARD) (2025) note 1: in addition to the three main branches of the military, the </t>
  </si>
  <si>
    <t>$261.616 billion (2023 est.) $255.582 billion (2022 est.) $243.74 billion (2021 est.) note: data in 2021 dollars</t>
  </si>
  <si>
    <t>urban population: 84.4% of total population (2023) rate of urbanization: 1.64% annual rate of change (2020-25 est.)</t>
  </si>
  <si>
    <t>electrification - total population: 98.1% (2022 est.) electrification - urban areas: 98.8% electrification - rural areas: 95%</t>
  </si>
  <si>
    <t>Northern Africa, bordering the Mediterranean Sea, between Libya and the Gaza Strip, and the Red Sea north of Sudan, and includes the Asian Sinai Peninsula</t>
  </si>
  <si>
    <t>Africa&amp;rsquo;s second-largest economy; 2030 Vision to diversify markets and energy infrastructure; improving fiscal, external, and current accounts; underperforming private sector; poor labor force participation; expanded credit access</t>
  </si>
  <si>
    <t>Egyptian Armed Forces (EAF): Army (includes Republican Guard), Navy (includes Coast Guard), Air Force, Air Defense Forces, Border Guard ForcesInterior Ministry: Public Security Sector Police, the Central Security Force, National Security Agency (2024) note: the Public Security Sector Police are responsible for law enforcement nationwide; the Centra</t>
  </si>
  <si>
    <t>$1.912 trillion (2023 est.) $1.842 trillion (2022 est.) $1.729 trillion (2021 est.) note: data in 2021 dollars</t>
  </si>
  <si>
    <t>urban population: 43.1% of total population (2023) rate of urbanization: 1.9% annual rate of change (2020-25 est.)</t>
  </si>
  <si>
    <t>Eastern Africa, bordering the Red Sea, between Djibouti and Sudan</t>
  </si>
  <si>
    <t>largely agrarian economy with a significant mining sector; substantial fiscal surplus due to tight controls; high and vulnerable debts; increased Ethiopian trade and shared port usage decreasing prices; financial and economic data integrity challenges</t>
  </si>
  <si>
    <t>Eritrean Defense Forces (EDF): Eritrean Ground Forces, Eritrean Navy, Eritrean Air Force; People's Militia (aka People's Army or Hizbawi Serawit) (2024) note: police are responsible for maintaining internal security, but the government sometimes uses the armed forces, reserves, demobilized soldiers, or civilian militia to meet domestic as well as e</t>
  </si>
  <si>
    <t>$9.702 billion (2017 est.) $8.953 billion (2016 est.) $8.791 billion (2015 est.) note: data are in 2017 dollars</t>
  </si>
  <si>
    <t>urban population: 43.3% of total population (2023) rate of urbanization: 3.67% annual rate of change (2020-25 est.)</t>
  </si>
  <si>
    <t>electrification - total population: 55.4% (2022 est.) electrification - urban areas: 75.5% electrification - rural areas: 36%</t>
  </si>
  <si>
    <t>Eastern Africa, west of Somalia</t>
  </si>
  <si>
    <t>low-income, fast-growing Horn of Africa economy; widespread poverty and food insecurity worsened by conflict and environmental factors; landlocked with tensions over seaport access; development aid supporting reforms to boost private-sector growth and financial stability; challenge of creating jobs for growing labor force</t>
  </si>
  <si>
    <t xml:space="preserve">Ethiopian National Defense Force (ENDF; aka Federal Defense Force of Ethiopia, FDRE): Army, Air Force, Naval Force, Defense Cyber Main Directorate (2025) note 1: national and regional police forces are responsible for law enforcement and maintenance of order, with the ENDF sometimes providing internal security support; the Ethiopian Federal Police </t>
  </si>
  <si>
    <t>$354.604 billion (2023 est.) $332.968 billion (2022 est.) $316.145 billion (2021 est.) note: data in 2021 dollars</t>
  </si>
  <si>
    <t>urban population: 23.2% of total population (2023) rate of urbanization: 4.4% annual rate of change (2020-25 est.)</t>
  </si>
  <si>
    <t>electrification - total population: 55% (2022 est.) electrification - urban areas: 94% electrification - rural areas: 43%</t>
  </si>
  <si>
    <t>Northern Europe, bordering the Baltic Sea, Gulf of Bothnia, and Gulf of Finland, between Sweden and Russia</t>
  </si>
  <si>
    <t>high-income, export-based EU and eurozone economy; major timber, metals, engineering, telecom, and electronics industries; emerging from recession triggered by inflation, weak consumer and export demand, and lower private investment; labor market reform plan to address structural rigidities</t>
  </si>
  <si>
    <t>Finnish Defense Forces (FDF; Puolustusvoimat): Army (Maavoimat), Navy (Merivoimat), Air Force (Ilmavoimat) (2025) note: the Border Guard (Rajavartiolaitos) and National Police are under the Ministry of the Interior; the Border Guard becomes part of the FDF in wartime</t>
  </si>
  <si>
    <t>$318.638 billion (2023 est.) $322.39 billion (2022 est.) $317.782 billion (2021 est.) note: data in 2021 dollars</t>
  </si>
  <si>
    <t>urban population: 85.8% of total population (2023) rate of urbanization: 0.42% annual rate of change (2020-25 est.)</t>
  </si>
  <si>
    <t>metropolitan France: Western Europe, bordering the Bay of Biscay and English Channel, between Belgium and Spain, southeast of the UK; bordering the Mediterranean Sea, between Italy and Spain; French G</t>
  </si>
  <si>
    <t>high-income, advanced EU economy and eurozone member; strong tourism, aircraft manufacturing, pharmaceuticals, and industrial sectors; high public debt; ongoing pension reform efforts; transitioning to a green economy via \</t>
  </si>
  <si>
    <t>French Armed Forces (Forces Arm&amp;eacute;es Fran&amp;ccedil;aises): Army (l'Armee de Terre; includes Foreign Legion), Navy (Marine Nationale), Air and Space Force (l'Armee de l&amp;rsquo;Air et de l&amp;rsquo;Espace); includes Air Defense), National Guard (Garde Nationale), National Gendarmerie (Gendarmerie Nationale) (2025) note 1: under the direction of the Mi</t>
  </si>
  <si>
    <t>$3.786 trillion (2023 est.) $3.751 trillion (2022 est.) $3.657 trillion (2021 est.) note: data in 2021 dollars</t>
  </si>
  <si>
    <t>urban population: 81.8% of total population (2023) rate of urbanization: 0.67% annual rate of change (2020-25 est.)</t>
  </si>
  <si>
    <t>Southwestern Asia, bordering the Black Sea, between Turkey and Russia, with a sliver of land north of the Caucasus extending into Europe; note - Georgia views itself as part of Europe; geopolitically,</t>
  </si>
  <si>
    <t>upper-middle income, fast-growing South Caucasus economy; regionally focused exporter of cars, metal ores, and energy; financial and migrant inflows resulting from Ukraine conflict; EU accession talks suspended over disputed election and foreign influence law; low inflation but persistent high unemployment</t>
  </si>
  <si>
    <t>Georgian Defense Forces (GDF; aka Defense Forces of Georgia, DFG): Ground Forces, Air Force, Special Operations Forces, National GuardMinistry of Internal Affairs: Police, Border Police of Georgia, Coast Guard of Georgia (includes naval forces, which were merged with the Coast Guard in 2009) (2025)</t>
  </si>
  <si>
    <t>$83.935 billion (2023 est.) $77.838 billion (2022 est.) $70.151 billion (2021 est.) note: data in 2021 dollars</t>
  </si>
  <si>
    <t>urban population: 60.7% of total population (2023) rate of urbanization: 0.35% annual rate of change (2020-25 est.) note: data include Abkhazia and South Ossetia</t>
  </si>
  <si>
    <t>Central Asia</t>
  </si>
  <si>
    <t>Central Europe, bordering the Baltic Sea and the North Sea, between the Netherlands and Poland, south of Denmark</t>
  </si>
  <si>
    <t>leading export-driven, core EU and eurozone economy; key automotive, chemical, engineering, finance, and green energy industries; growth stalled by energy crisis and declining exports; tight labor market with falling working-age population; fiscal rebalancing with phaseout of energy price supports</t>
  </si>
  <si>
    <t>Federal Armed Forces (Bundeswehr): German Army (Deutsche Heer), German Navy (Deutsche Marine, includes naval air arm), German Air Force (Deutsche Luftwaffe, includes air defense), Cyber and Information Space (Cyber und Informationsraum) (2025) note: responsibility for internal and border security is shared by the police forces of the 16 states, the</t>
  </si>
  <si>
    <t>$5.295 trillion (2023 est.) $5.309 trillion (2022 est.) $5.237 trillion (2021 est.) note: data in 2021 dollars</t>
  </si>
  <si>
    <t>urban population: 77.8% of total population (2023) rate of urbanization: 0.13% annual rate of change (2020-25 est.)</t>
  </si>
  <si>
    <t>Caribbean, western one-third of the island of Hispaniola, between the Caribbean Sea and the North Atlantic Ocean, west of the Dominican Republic</t>
  </si>
  <si>
    <t>small Caribbean island economy and OECS-member state; extreme poverty and inflation; enormous income inequality; ongoing civil unrest due to recent presidential assassination; US preferential market access; very open to foreign direct investment</t>
  </si>
  <si>
    <t>the Haitian Armed Forces (FAdH): ArmyMinistry of Justice and Public Security: Haitian National Police (Police Nationale d'Ha&amp;iuml;ti or PNH) (2025) note: the PNH is responsible for maintaining public security; it includes police, corrections, fire, emergency response, airport security, port security, and coast guard functions; its units include a p</t>
  </si>
  <si>
    <t>$34.406 billion (2023 est.) $35.059 billion (2022 est.) $35.659 billion (2021 est.) note: data in 2021 dollars</t>
  </si>
  <si>
    <t>urban population: 59.7% of total population (2023) rate of urbanization: 2.47% annual rate of change (2020-25 est.)</t>
  </si>
  <si>
    <t>electrification - total population: 49.3% (2022 est.) electrification - urban areas: 83% electrification - rural areas: 1.2% (2019 est.)</t>
  </si>
  <si>
    <t>Southern Asia, bordering the Arabian Sea and the Bay of Bengal, between Burma and Pakistan</t>
  </si>
  <si>
    <t>largest South Asian economy; strong, sustained GDP growth led by technology and service sectors, foreign investment, and improved regulatory framework; high poverty rate and income inequality; initiatives on infrastructure development, digitization, manufacturing, and financial access</t>
  </si>
  <si>
    <t xml:space="preserve">Indian Armed Forces (IAF): Army, Navy, Air Force, Coast GuardMinistry of Home Affairs: Central Police Organization, Central Armed Police Forces (includes Assam Rifles, Border Security Force, Central Industrial Security Force, Central Reserve Police Force, Indo-Tibetan Border Police, National Security Guards, Sashastra Seema Bal) (2025) note 1: the </t>
  </si>
  <si>
    <t>$13.173 trillion (2023 est.) $12.18 trillion (2022 est.) $11.384 trillion (2021 est.) note: data in 2021 dollars</t>
  </si>
  <si>
    <t>urban population: 36.4% of total population (2023) rate of urbanization: 2.33% annual rate of change (2020-25 est.)</t>
  </si>
  <si>
    <t>electrification - total population: 99.2% (2022 est.) electrification - urban areas: 100% electrification - rural areas: 99.3%</t>
  </si>
  <si>
    <t>South Asia</t>
  </si>
  <si>
    <t>Southeastern Asia, archipelago between the Indian Ocean and the Pacific Ocean</t>
  </si>
  <si>
    <t>one of the fastest growing economies and largest in Southeast Asia; upper middle-income country; human capital and competitiveness phase of its 20-year development plan; COVID-19 reversed poverty reduction trajectory; strengthening financial resilience</t>
  </si>
  <si>
    <t>Indonesian National Armed Forces (Tentara Nasional Indonesia, TNI): Army (TNI-Angkatan Darat, TNI-AD), Navy (TNI-Angkatan Laut, TNI-AL; includes Marine Corps (Korps Marinir or KorMar)), Air Force (TNI-Angkatan Udara, TNI-AU)Indonesian National Police (aka The State Police of the Republic of Indonesia or POLRI)Ministry of Transportation: Indonesia S</t>
  </si>
  <si>
    <t>$3.906 trillion (2023 est.) $3.718 trillion (2022 est.) $3.531 trillion (2021 est.) note: data in 2021 dollars</t>
  </si>
  <si>
    <t>urban population: 58.6% of total population (2023) rate of urbanization: 1.99% annual rate of change (2020-25 est.)</t>
  </si>
  <si>
    <t>electrification - total population: 100% (2022 est.) electrification - urban areas: 100% electrification - rural areas: 98.2%</t>
  </si>
  <si>
    <t>Middle East, bordering the Gulf of Oman, the Persian Gulf, and the Caspian Sea, between Iraq and Pakistan</t>
  </si>
  <si>
    <t>traditionally state-controlled economy but reforming state-owned financial entities; strong oil/gas, agricultural, and service sectors; recent massive inflation due to exchange rate depreciation, international sanctions, and investor uncertainty; increasing poverty</t>
  </si>
  <si>
    <t xml:space="preserve">the military forces of Iran are divided between the Islamic Republic of Iran Regular Forces (Artesh) and the Islamic Revolutionary Guard Corps (IRGC or Sepah):Artesh: Ground Forces, Navy (includes marines), Air Force, Air Defense ForcesIRGC: Ground Forces, Navy (includes marines), Aerospace Force (controls strategic missile force), Qods Force (aka </t>
  </si>
  <si>
    <t>$1.442 trillion (2023 est.) $1.373 trillion (2022 est.) $1.323 trillion (2021 est.) note: data in 2021 dollars</t>
  </si>
  <si>
    <t>urban population: 77.3% of total population (2023) rate of urbanization: 1.32% annual rate of change (2020-25 est.)</t>
  </si>
  <si>
    <t>Middle East, bordering the Persian Gulf, between Iran and Kuwait</t>
  </si>
  <si>
    <t>highly oil-dependent Middle Eastern economy; fiscal sustainability subject to fluctuation in oil prices; rising public confidence in economic conditions; import-dependent for most sectors; persistent challenges of corruption, informal markets, banking access, and political fragility</t>
  </si>
  <si>
    <t>Ministry of Defense: Iraqi Army, Army Aviation Command, Iraqi Navy, Iraqi Air Force, Iraqi Air Defense Command, Special Forces Command, Special Security DivisionNational-Level Security Forces: Iraqi Counterterrorism Service (CTS), Prime Minister's Special Forces (Security) Division, Presidential BrigadesMinistry of Interior: Federal Police Forces C</t>
  </si>
  <si>
    <t>$572.939 billion (2023 est.) $590.267 billion (2022 est.) $548.372 billion (2021 est.) note: data in 2021 dollars</t>
  </si>
  <si>
    <t>urban population: 71.6% of total population (2023) rate of urbanization: 2.91% annual rate of change (2020-25 est.)</t>
  </si>
  <si>
    <t>Middle East, bordering the Mediterranean Sea, between Egypt and Lebanon</t>
  </si>
  <si>
    <t>high-income, technology- and industrial-based economy; economic contraction and fiscal deficits resulting from war in Gaza; labor force stabilizing following military reservist mobilization; high-tech industry remains resilient while construction and tourism among hardest-hit sectors</t>
  </si>
  <si>
    <t>Israel Defense Forces (IDF): Ground Forces, Israel Naval Force (IN, includes commandos), Israel Air Force (IAF, includes air defense)Ministry of National Security: Israeli Police (2025)</t>
  </si>
  <si>
    <t>$472.533 billion (2023 est.) $461.354 billion (2022 est.) $433.317 billion (2021 est.) note: data in 2021 dollars</t>
  </si>
  <si>
    <t>urban population: 92.9% of total population (2023) rate of urbanization: 1.51% annual rate of change (2020-25 est.)</t>
  </si>
  <si>
    <t>Caribbean, island in the Caribbean Sea, south of Cuba</t>
  </si>
  <si>
    <t>upper-middle-income Caribbean island economy; key agriculture and tourism sectors; high crime, youth unemployment, and poverty; susceptible to natural disasters and global commodity price shocks; progress in reducing public debt and moderating inflation within target range</t>
  </si>
  <si>
    <t>Jamaica Defense Force (JDF): Jamaica Regiment (Land Force), Maritime, Air, and Cyber Command (MACC), Support Brigade, Caribbean Military Academy, Jamaica National Reserve (2025) note: the Jamaica Constabulary Force (JCF) is the country&amp;rsquo;s police force; it has primary responsibility for internal security and has units for community policing, sp</t>
  </si>
  <si>
    <t>$29.225 billion (2023 est.) $28.596 billion (2022 est.) $27.177 billion (2021 est.) note: data in 2021 dollars</t>
  </si>
  <si>
    <t>urban population: 57.4% of total population (2023) rate of urbanization: 0.79% annual rate of change (2020-25 est.)</t>
  </si>
  <si>
    <t>Eastern Asia, island chain between the North Pacific Ocean and the Sea of Japan, east of the Korean Peninsula</t>
  </si>
  <si>
    <t>second-largest East Asian economy; trade-oriented and highly diversified; high public debt levels; following years of near-zero interest rates, gradual increases to address inflation and depreciation of yen; strong rebound in tourism; aging population poses challenges to labor force participation</t>
  </si>
  <si>
    <t xml:space="preserve">Japan Self-Defense Force (JSDF): Ground Self-Defense Force (Rikujou Jieitai, GSDF; includes aviation), Maritime Self-Defense Force (Kaijou Jieitai, MSDF; includes naval aviation), Air Self-Defense Force (Koukuu Jieitai, ASDF) (2025) note: the Coast Guard is under the Ministry of Land, Infrastructure, Transport and Tourism; it is barred by law from </t>
  </si>
  <si>
    <t>$5.747 trillion (2023 est.) $5.652 trillion (2022 est.) $5.599 trillion (2021 est.) note: data in 2021 dollars</t>
  </si>
  <si>
    <t>urban population: 92% of total population (2023) rate of urbanization: -0.25% annual rate of change (2020-25 est.)</t>
  </si>
  <si>
    <t>Middle East, northwest of Saudi Arabia, between Israel (to the west) and Iraq</t>
  </si>
  <si>
    <t>upper-middle-income Middle Eastern economy; high debt and unemployment, especially for youth and women; global events triggering trade slump and decreased revenue from tourism; growing manufacturing and agricultural sectors; key US foreign assistance recipient; natural-resource-poor and import-reliant</t>
  </si>
  <si>
    <t>Jordanian Armed Forces (JAF; aka Arab Army): Jordanian Army (Jordanian Ground Forces; includes Special Operations Forces, Border Guards, Royal Guard), Jordanian Air Force, Jordanian Navy) Ministry of Interior: Public Security Directorate (includes national police, the Gendarmerie, and the Civil Defense Directorate) (2025)</t>
  </si>
  <si>
    <t>$107.101 billion (2023 est.) $104.307 billion (2022 est.) $101.617 billion (2021 est.) note: data in 2021 dollars</t>
  </si>
  <si>
    <t>urban population: 92% of total population (2023) rate of urbanization: 0.98% annual rate of change (2020-25 est.)</t>
  </si>
  <si>
    <t>electrification - total population: 100% (2022 est.) electrification - urban areas: 100% electrification - rural areas: 98.9%</t>
  </si>
  <si>
    <t>Middle East, bordering the Persian Gulf, between Iraq and Saudi Arabia</t>
  </si>
  <si>
    <t>small, high-income, oil-based Middle East economy; renewable energy proponent; regional finance and investment leader; maintains oldest sovereign wealth fund; emerging space and tourism industries; mid-way through 25-year development program</t>
  </si>
  <si>
    <t>Kuwait Armed Forces (KAF): Kuwait Army (aka Kuwait Land Forces, KLF), Kuwait Navy (aka Kuwait Naval Force), Kuwait Air Force; Kuwait National Guard (KNG)Ministry of Interior: Kuwait Police, State Security, Kuwait Coast Guard (2025) note 1: the Emiri Guard Authority and the 25th Commando Brigade are special units within the KAF that exercise indepen</t>
  </si>
  <si>
    <t>$225.481 billion (2023 est.) $234 billion (2022 est.) $221.048 billion (2021 est.) note: data in 2021 dollars</t>
  </si>
  <si>
    <t>urban population: 100% of total population (2023) rate of urbanization: 1.35% annual rate of change (2020-25 est.)</t>
  </si>
  <si>
    <t>Northern Africa, bordering the Mediterranean Sea, between Egypt, Tunisia, and Algeria</t>
  </si>
  <si>
    <t>upper middle-income, fossil fuel-based North African economy; 31% economic contraction due to COVID-19 and 2020 oil blockade; reduced government spending; central bank had to devalue currency; public wages are over 60% of expenditures</t>
  </si>
  <si>
    <t>the Libyan Armed Forces of the Tripoli-based Government of National Unity (GNU) have various ground, air, and naval/coast guard forces, which include a mix of nominally integrated and semi-regular units, tribal armed groups and militias, civilian volunteers, and foreign military contractors; the GNU's armed forces are nominally under the control of</t>
  </si>
  <si>
    <t>$91.161 billion (2023 est.) $82.756 billion (2022 est.) $90.199 billion (2021 est.) note: data in 2021 dollars</t>
  </si>
  <si>
    <t>urban population: 81.6% of total population (2023) rate of urbanization: 1.45% annual rate of change (2020-25 est.)</t>
  </si>
  <si>
    <t>electrification - total population: 70% (2022 est.) electrification - urban areas: 100%</t>
  </si>
  <si>
    <t>Southern Africa, island in the Indian Ocean, east of Mozambique</t>
  </si>
  <si>
    <t>low-income East African island economy; natural resource rich; extreme poverty; return of political stability has helped growth; sharp tax revenue drop due to COVID-19; leading vanilla producer; environmentally fragile</t>
  </si>
  <si>
    <t>Madagascar Armed Forces (aka Armed forces of the Republic of Madagascar); Malagasy Army, Naval Forces (or National Navy), Air Force; Malagasy National Gendarmerie (2025) note: the National Gendarmerie is under the Ministry of Defense but separate from the PAF and is responsible for maintaining law and order in rural areas at the village level, prot</t>
  </si>
  <si>
    <t>$51.265 billion (2023 est.) $49.388 billion (2022 est.) $47.488 billion (2021 est.) note: data in 2021 dollars</t>
  </si>
  <si>
    <t>urban population: 40.6% of total population (2023) rate of urbanization: 4.26% annual rate of change (2020-25 est.)</t>
  </si>
  <si>
    <t>electrification - total population: 36.1% (2022 est.) electrification - urban areas: 71.6% electrification - rural areas: 10.9%</t>
  </si>
  <si>
    <t>Southeastern Asia, peninsula bordering Thailand and northern one-third of the island of Borneo, bordering Indonesia, Brunei, and the South China Sea, south of Vietnam</t>
  </si>
  <si>
    <t>upper middle-income Southeast Asian economy; implementing key anticorruption policies; major electronics, oil, and chemicals exporter; trade sector employs over 40% of jobs; key economic equity initiative; high labor productivity</t>
  </si>
  <si>
    <t>Malaysian Armed Forces (Angkatan Tentera Malaysia, ATM): Malaysian Army, Royal Malaysian Navy, Royal Malaysian Air ForceMinistry of Home Affairs: Royal Malaysia Police (RMP or Polis Diraja Malaysia, PDRM), Malaysian Maritime Enforcement Agency (MMEA; aka Malaysian Coast Guard) (2025) note: the Royal Malaysia Police includes the General Operations F</t>
  </si>
  <si>
    <t>$1.153 trillion (2023 est.) $1.113 trillion (2022 est.) $1.022 trillion (2021 est.) note: data in 2021 dollars</t>
  </si>
  <si>
    <t>urban population: 78.7% of total population (2023) rate of urbanization: 1.87% annual rate of change (2020-25 est.)</t>
  </si>
  <si>
    <t>North America, bordering the Caribbean Sea and the Gulf of America, between Belize and the United States and bordering the North Pacific Ocean, between Guatemala and the United States</t>
  </si>
  <si>
    <t>upper-middle-income economy; highly integrated with US via trade and nearshore manufacturing; weak domestic demand, fiscal consolidation, and trade uncertainty contributing to sluggish growth; low unemployment; challenges from income inequality, corruption, and cartel-based violence</t>
  </si>
  <si>
    <t>the Mexican Armed Forces (Fuerzas Armadas de M&amp;eacute;xico) are divided between the Secretariat of National Defense and the Secretariat of the Navy:Secretariat of National Defense (Secretaria de Defensa Nacional, SEDENA): Army (Ejercito), Mexican Air Force (Fuerza Aerea Mexicana, FAM), National Guard (Guardia Nacional); Secretariat of the Navy (Sec</t>
  </si>
  <si>
    <t>$2.873 trillion (2023 est.) $2.784 trillion (2022 est.) $2.685 trillion (2021 est.) note: data in 2021 dollars</t>
  </si>
  <si>
    <t>urban population: 81.6% of total population (2023) rate of urbanization: 1.4% annual rate of change (2020-25 est.)</t>
  </si>
  <si>
    <t>electrification - total population: 100% (2022 est.) electrification - urban areas: 99.8% electrification - rural areas: 100%</t>
  </si>
  <si>
    <t>Northern Africa, bordering the North Atlantic Ocean and the Mediterranean Sea, between Algeria and Mauritania</t>
  </si>
  <si>
    <t>lower middle-income North African economy; ongoing recovery from recent drought and earthquake; rebounding via tourism, manufacturing, and raw materials processing; significant trade and investment with EU; reform programs include fiscal rebalancing, state enterprise governance and private sector investments</t>
  </si>
  <si>
    <t>Royal Moroccan Armed Forces (FAR): Royal Moroccan Army (includes the Moroccan Royal Guard), Royal Moroccan Navy (includes Coast Guard, marines), Royal Moroccan Air Force, Moroccan Royal Guard, Royal Moroccan GendarmerieMinistry of Interior: General Directorate for National Security (DGSN; aka National Police), Auxiliary Forces (2025) note 1: the Ro</t>
  </si>
  <si>
    <t>$339.603 billion (2023 est.) $328.425 billion (2022 est.) $323.485 billion (2021 est.) note: data in 2021 dollars</t>
  </si>
  <si>
    <t>urban population: 65.1% of total population (2023) rate of urbanization: 1.88% annual rate of change (2020-25 est.) note: data does not include former Western Sahara</t>
  </si>
  <si>
    <t>Southeastern Africa, bordering the Mozambique Channel, between South Africa and Tanzania</t>
  </si>
  <si>
    <t>low-income East African economy; subsistence farming dominates labor force; return to growth led by agriculture and extractive industries; Islamist insurgency threatens natural gas projects in north; ongoing foreign debt restructuring and resolution under IMF Highly Indebted Poor Countries (HIPC) initiative</t>
  </si>
  <si>
    <t>Armed Forces for the Defense of Mozambique (Forcas Armadas de Defesa de Mocambique, FADM): Army, Mozambique Navy, Mozambique Air Force Ministry of Interior: Mozambique National Police (PRM; includes the Rapid Intervention Unit, UIR), the National Criminal Investigation Service (SERNIC), Border Security Force; other security forces include the Presi</t>
  </si>
  <si>
    <t>$50.844 billion (2023 est.) $48.222 billion (2022 est.) $46.206 billion (2021 est.) note: data in 2021 dollars</t>
  </si>
  <si>
    <t>urban population: 38.8% of total population (2023) rate of urbanization: 4.24% annual rate of change (2020-25 est.)</t>
  </si>
  <si>
    <t>electrification - total population: 33.2% (2022 est.) electrification - urban areas: 79.4% electrification - rural areas: 5%</t>
  </si>
  <si>
    <t>Southern Africa, bordering the South Atlantic Ocean, between Angola and South Africa</t>
  </si>
  <si>
    <t>upper middle-income, export-driven Sub-Saharan economy; natural resource rich; Walvis Bay port expansion for trade; high potential for renewable power generation and energy independence; major nature-based tourist locale; natural resource rich; shortage of skilled labor</t>
  </si>
  <si>
    <t>Namibian Defense Force (NDF): Namibian Army, Namibian Navy, Namibian Air Force (2025) note: the Namibian Police Force is under the Ministry of Home Affairs, Immigration, Safety, and Security; it has a paramilitary Special Field Force responsible for protecting borders and government installations</t>
  </si>
  <si>
    <t>$29.944 billion (2023 est.) $28.748 billion (2022 est.) $27.288 billion (2021 est.) note: data in 2021 dollars</t>
  </si>
  <si>
    <t>urban population: 54.9% of total population (2023) rate of urbanization: 3.64% annual rate of change (2020-25 est.)</t>
  </si>
  <si>
    <t>electrification - total population: 56.2% (2022 est.) electrification - urban areas: 74.8% electrification - rural areas: 33.2%</t>
  </si>
  <si>
    <t>Eastern Asia, northern half of the Korean Peninsula bordering the Korea Bay and the Sea of Japan, between China and South Korea</t>
  </si>
  <si>
    <t>one of the last centrally planned economies; hard hit by COVID-19, crop failures, international sanctions, and isolationist policies; declining growth and trade, and heavily reliant on China; poor exchange rate stability; economic data integrity issues</t>
  </si>
  <si>
    <t>Korean People's Army (KPA): KPA Ground Forces, KPA Navy, KPA Air Force and Air Defense Forces, KPA Strategic Forces (missile forces), KPA Special Forces (special operations forces); Security Guard Command (aka Bodyguard Command); Military Security CommandMinistry of Social Security (formerly Ministry of Public Security): Border Guard General Bureau</t>
  </si>
  <si>
    <t>$40 billion (2015 est.) note: data are in 2015 dollarsNorth Korea does not publish reliable National Income Accounts data; the data shown are derived from purchasing power parity (PPP) GDP estimates that were made by Ang</t>
  </si>
  <si>
    <t>urban population: 63.2% of total population (2023) rate of urbanization: 0.85% annual rate of change (2020-25 est.)</t>
  </si>
  <si>
    <t>electrification - total population: 54.7% (2022 est.)</t>
  </si>
  <si>
    <t>Northern Europe, bordering the North Sea and the North Atlantic Ocean, west of Sweden</t>
  </si>
  <si>
    <t>high-income, non-EU economy with trade links via European Economic Area (EEA); key role in European energy security as leader in oil, gas, and electricity exports; major fishing, forestry, and oil(?) extraction industries; oil sovereign fund supports generous welfare system; low unemployment; inflation moderating but remains above target level</t>
  </si>
  <si>
    <t>Norwegian Armed Forces (Forsvaret or \</t>
  </si>
  <si>
    <t>$499.357 billion (2023 est.) $496.973 billion (2022 est.) $482.472 billion (2021 est.) note: data in 2021 dollars</t>
  </si>
  <si>
    <t>urban population: 84% of total population (2023) rate of urbanization: 1.32% annual rate of change (2020-25 est.) note: data include Svalbard and Jan Mayen Islands</t>
  </si>
  <si>
    <t>Middle East, bordering the Arabian Sea, Gulf of Oman, and Persian Gulf, between Yemen and the UAE</t>
  </si>
  <si>
    <t>high-income, oil-based economy; large welfare system; growing government debt; citizenship-based labor force growth policy; US free trade agreement; diversifying portfolio; high female labor force participation</t>
  </si>
  <si>
    <t>Sultan's Armed Forces (SAF): Royal Army of Oman (RAO), Royal Navy of Oman (RNO), Royal Air Force of Oman (RAFO), Royal Guard of Oman (RGO), Sultan's Special ForcesRoyal Oman Police (ROP): Civil Defense, Immigration, Infrastructure Security Police, Coast Guard Police, Special Security Police, Special Task Force (2024) note: in addition to its polici</t>
  </si>
  <si>
    <t>$193.445 billion (2023 est.) $190.942 billion (2022 est.) $174.254 billion (2021 est.) note: data in 2021 dollars</t>
  </si>
  <si>
    <t>urban population: 88.4% of total population (2023) rate of urbanization: 2.32% annual rate of change (2020-25 est.)</t>
  </si>
  <si>
    <t>Central America, bordering both the Caribbean Sea and the North Pacific Ocean, between Colombia and Costa Rica</t>
  </si>
  <si>
    <t>upper middle-income Central American economy; increasing Chinese trade; US dollar user; canal expansion fueling broader infrastructure investment; services sector dominates economy; historic money-laundering and illegal drug hub</t>
  </si>
  <si>
    <t>no regular military forces; Ministry of Public Security: Panama National Police (La Polic&amp;iacute;a Nacional de Panama, PNP), National Aeronaval Service (Servicio Nacional Aeronaval, SENAN), National Border Service (Servicio Nacional de Fronteras, SENAFRONT) (2025) note 1: collectively, the security forces are known as the Panamanian Public Forces n</t>
  </si>
  <si>
    <t>$159.908 billion (2023 est.) $148.891 billion (2022 est.) $134.415 billion (2021 est.) note: data in 2021 dollars</t>
  </si>
  <si>
    <t>urban population: 69.5% of total population (2023) rate of urbanization: 1.92% annual rate of change (2020-25 est.)</t>
  </si>
  <si>
    <t>electrification - total population: 95% (2022 est.) electrification - urban areas: 99% electrification - rural areas: 100%</t>
  </si>
  <si>
    <t>Southeastern Asia, archipelago between the Philippine Sea and the South China Sea, east of Vietnam</t>
  </si>
  <si>
    <t>growing Southeast Asian economy; commercial rebound led by transportation, construction and financial services; electronics exports recovering from sector slowdown; significant remittances; interest rate rises following heightened inflation; uncertainties due to increased regional tensions with China</t>
  </si>
  <si>
    <t>Armed Forces of the Philippines (AFP): Army, Navy (includes Marine Corps), Air ForceDepartment of Transportation: Philippine Coast Guard (PCG); Department of the Interior: Philippine National Police Force (PNP) (2025) note 1: the PCG is an armed and uniformed service that would be attached to the AFP during a conflictnote 2: the Philippine Governme</t>
  </si>
  <si>
    <t>$1.138 trillion (2023 est.) $1.078 trillion (2022 est.) $1.002 trillion (2021 est.) note: data in 2021 dollars</t>
  </si>
  <si>
    <t>urban population: 48.3% of total population (2023) rate of urbanization: 2.04% annual rate of change (2020-25 est.)</t>
  </si>
  <si>
    <t>electrification - total population: 94.8% (2022 est.) electrification - urban areas: 98% electrification - rural areas: 91.1%</t>
  </si>
  <si>
    <t>Central Europe, east of Germany</t>
  </si>
  <si>
    <t>high-income, diversified, EU-member economy; significant growth in GDP, trade, and investment since joining EU in 2004; private consumption and EU-funded public investments driving GDP growth; increased social spending, flooding recovery costs, and defense spending have added to public debt</t>
  </si>
  <si>
    <t>Polish Armed Forces (Polskie Siły Zbrojne): Land Forces (Wojska Ladowe), Navy (Marynarka Wojenna), Air Force (Sily Powietrzne), Special Forces (Wojska Specjalne), Territorial Defense Forces (Wojska Obrony Terytorialnej), Cyberspace Defense Forces (Wojska Obrony Cyberprzestrzeni)Ministry of Interior and Administration: Polish National Police (Policj</t>
  </si>
  <si>
    <t>$1.628 trillion (2023 est.) $1.626 trillion (2022 est.) $1.545 trillion (2021 est.) note: data in 2021 dollars</t>
  </si>
  <si>
    <t>urban population: 60.2% of total population (2023) rate of urbanization: -0.16% annual rate of change (2020-25 est.)</t>
  </si>
  <si>
    <t>Southwestern Europe, bordering the North Atlantic Ocean, west of Spain</t>
  </si>
  <si>
    <t>high-income EU and eurozone economy; strong services sector led by tourism and banking; tight labor market; growth driven by private consumption, trade surplus, and public investment from EU funds; declining public debt</t>
  </si>
  <si>
    <t>Portuguese Armed Forces (For&amp;ccedil;as Armadas Portuguesa): Portuguese Army (Exercito Portuguesa), Portuguese Navy (Marinha Portuguesa; includes Marine Corps, aka Corpo de Fuzileiros or Corps of Fusiliers), Portuguese Air Force (Forca Aerea Portuguesa, FAP)Ministry of Internal Administration: Public Security Police (Pol&amp;iacute;cia de Seguran&amp;ccedil</t>
  </si>
  <si>
    <t>$441.697 billion (2023 est.) $430.813 billion (2022 est.) $402.682 billion (2021 est.) note: data in 2021 dollars</t>
  </si>
  <si>
    <t>urban population: 67.9% of total population (2023) rate of urbanization: 0.44% annual rate of change (2020-25 est.)</t>
  </si>
  <si>
    <t>Middle East, peninsula bordering the Persian Gulf and Saudi Arabia</t>
  </si>
  <si>
    <t>high-income, oil-and-gas-based Middle Eastern economy; implementing &amp;ldquo;National Vision 2030&amp;rdquo; government strategy for economic development, diversification, and favorable business conditions to boost investment and employment; expansion of LNG sector expected to boost growth; Islamic finance leader</t>
  </si>
  <si>
    <t>Qatar Armed Forces (QAF): Qatari Amiri Land Force (QALF, includes Emiri Guard), Qatari Amiri Navy (QAN, includes Coast Guard), Qatari Amiri Air Force (QAAF)Ministry of Interior: General Directorate of Public Security, General Directorate of Coasts and Border Security, Internal Security Force (ISF or Lekhwiya) (2025)</t>
  </si>
  <si>
    <t>$308.522 billion (2023 est.) $304.903 billion (2022 est.) $292.655 billion (2021 est.) note: data in 2021 dollars</t>
  </si>
  <si>
    <t>urban population: 99.4% of total population (2023) rate of urbanization: 1.66% annual rate of change (2020-25 est.)</t>
  </si>
  <si>
    <t>Southeastern Europe, bordering the Black Sea, between Bulgaria and Ukraine</t>
  </si>
  <si>
    <t>high-income, EU-member economy; euro membership delayed over macroeconomic indicators; persistent inflation, but consumption and EU-funded investments driving recovery; skilled labor shortage; high public debt and budget deficit; challenges include fiscal sustainability and political instability</t>
  </si>
  <si>
    <t>Romanian Armed Forces (Forțele Armate Rom&amp;acirc;ne or Armata Rom&amp;acirc;nă): Romanian Land Forces, Romanian Naval Forces, Romanian Air ForceMinistry of Internal Affairs: Romanian Police, Romanian Gendarmerie, Romanian Border Police (2025)</t>
  </si>
  <si>
    <t>$775.064 billion (2023 est.) $756.867 billion (2022 est.) $727.999 billion (2021 est.) note: data in 2021 dollars</t>
  </si>
  <si>
    <t>urban population: 54.7% of total population (2023) rate of urbanization: -0.15% annual rate of change (2020-25 est.)</t>
  </si>
  <si>
    <t>North Asia bordering the Arctic Ocean, extending from Eastern Europe (the portion west of the Urals) to the North Pacific Ocean</t>
  </si>
  <si>
    <t>natural resource-rich Eurasian economy; leading energy exporter to Europe and Asia; decreased oil export reliance; endemic corruption, Ukrainian invasion, and lack of green infrastructure limit investment and have led to sanctions</t>
  </si>
  <si>
    <t>Armed Forces of the Russian Federation: Ground Troops (Sukhoputnyye Voyskia, SV), Navy (Voyenno-Morskoy Flot, VMF), Aerospace Forces (Vozdushno-Kosmicheskiye Sily, VKS); Airborne Troops (Vozdushno-Desantnyye Voyska, VDV), and Missile Troops of Strategic Purpose (Raketnyye Voyska Strategicheskogo Naznacheniya, RVSN) referred to commonly as Strategic</t>
  </si>
  <si>
    <t>$5.816 trillion (2023 est.) $5.614 trillion (2022 est.) $5.732 trillion (2021 est.) note: data in 2021 dollars</t>
  </si>
  <si>
    <t>urban population: 75.3% of total population (2023) rate of urbanization: 0.11% annual rate of change (2020-25 est.)</t>
  </si>
  <si>
    <t>electrification - total population: 100% (2022 est.) electrification - urban areas: 99.1% electrification - rural areas: 100%</t>
  </si>
  <si>
    <t>Middle East, bordering the Persian Gulf and the Red Sea, north of Yemen</t>
  </si>
  <si>
    <t>high-income, oil-based Middle Eastern economy; OPEC founding member; Vision 2030 strategy prioritizing economic diversification, increased private sector involvement, and projects funded by sovereign wealth fund and foreign investment; young labor force; falling but significant poverty rate despite lack of official statistics</t>
  </si>
  <si>
    <t>the Saudi Arabian Armed Forces (SAAF) are divided into two ministries:Ministry of Defense: Royal Saudi Land Forces, Royal Saudi Naval Forces (includes marines, special forces, naval aviation), Royal Saudi Air Force, Royal Saudi Air Defense Forces, Royal Saudi Strategic Missiles Force; Ministry of the National Guard: Saudi Arabian National Guard (SA</t>
  </si>
  <si>
    <t>$1.831 trillion (2023 est.) $1.845 trillion (2022 est.) $1.717 trillion (2021 est.) note: data in 2021 dollars</t>
  </si>
  <si>
    <t>urban population: 85% of total population (2023) rate of urbanization: 1.69% annual rate of change (2020-25 est.)</t>
  </si>
  <si>
    <t>Southeastern Asia, islands between Malaysia and Indonesia</t>
  </si>
  <si>
    <t>high-income, service-based economy; global financial hub; business-friendly policies and open to investment and trade; inflation easing but persistent in services; public investments in education, healthcare, and infrastructure; strong human capital development challenged by aging population</t>
  </si>
  <si>
    <t>Singapore Armed Forces (SAF; aka Singapore Defense Force): Singapore Army, Republic of Singapore Navy, Republic of Singapore Air Force (includes air defense), Digital and Intelligence ServiceMinistry of Home Affairs: Singapore Police Force (SPF; includes Police Coast Guard and the Gurkha Contingent) (2025) note 1: the Gurkha Contingent of the Singa</t>
  </si>
  <si>
    <t>$754.758 billion (2023 est.) $746.73 billion (2022 est.) $719.13 billion (2021 est.) note: data in 2021 dollars</t>
  </si>
  <si>
    <t>urban population: 100% of total population (2023) rate of urbanization: 0.74% annual rate of change (2020-25 est.)</t>
  </si>
  <si>
    <t>Eastern Africa, bordering the Gulf of Aden and the Indian Ocean, east of Ethiopia</t>
  </si>
  <si>
    <t>low-income African Horn economy; 30 years of war and instability crippled economic potential; high remittances for basic survival; new fiscal federalism approach; cleared some unsustainable debt; environmentally fragile; digitally driven urbanization efforts</t>
  </si>
  <si>
    <t>Somali Armed Forces (SAF; aka Somali Defense Force): Somali National Army (SNA; aka Land Forces), Somali Navy, Somali Air ForceMinistry of Internal Security: Somali National Police (SNP, includes Coast Guard, commando unit) (2024) note 1: Somalia has numerous militia (\</t>
  </si>
  <si>
    <t>$25.747 billion (2023 est.) $24.706 billion (2022 est.) $24.05 billion (2021 est.) note: data in 2021 dollars</t>
  </si>
  <si>
    <t>urban population: 47.9% of total population (2023) rate of urbanization: 4.2% annual rate of change (2020-25 est.)</t>
  </si>
  <si>
    <t>electrification - total population: 48.9% (2022 est.) electrification - urban areas: 76.7% electrification - rural areas: 30.6%</t>
  </si>
  <si>
    <t>Southern Africa, at the southern tip of the continent of Africa</t>
  </si>
  <si>
    <t>upper-middle-income, largest southern African economy; Government of National Unity facing slow growth, fiscal gaps, and structural challenges; high income inequality, unemployment, and poverty; reforms to address electricity generation, transport, and logistics; leading producer and exporter of critical minerals</t>
  </si>
  <si>
    <t>South African National Defense Force (SANDF): South African Army (includes Reserve Force), South African Navy (SAN), South African Air Force (SAAF), South African Military Health ServicesMinistry of Police: South African Police Service (2025)</t>
  </si>
  <si>
    <t>$865.402 billion (2023 est.) $859.399 billion (2022 est.) $843.28 billion (2021 est.) note: data in 2021 dollars</t>
  </si>
  <si>
    <t>urban population: 68.8% of total population (2023) rate of urbanization: 1.72% annual rate of change (2020-25 est.)</t>
  </si>
  <si>
    <t>electrification - total population: 86.5% (2022 est.) electrification - urban areas: 87.1% electrification - rural areas: 93.4%</t>
  </si>
  <si>
    <t>Eastern Asia, southern half of the Korean Peninsula bordering the Sea of Japan and the Yellow Sea</t>
  </si>
  <si>
    <t>high-income, export- and technology-oriented East Asian economy; manufacturing led by semiconductor and automotive industries; slow growth amid declining construction investment, export risks, and recent political instability; aging workforce; increased restraint in fiscal policy while maintaining industry support initiatives</t>
  </si>
  <si>
    <t>Armed Forces of the Republic of Korea: Republic of Korea Army (ROKA), Republic of Korea Navy (ROKN, includes Marine Corps, ROKMC), Republic of Korea Air Force (ROKAF)Ministry of Maritime Affairs and Fisheries: Korea Coast Guard; Ministry of Interior and Safety: Korean National Police Agency (2025)</t>
  </si>
  <si>
    <t>$2.615 trillion (2023 est.) $2.58 trillion (2022 est.) $2.515 trillion (2021 est.) note: data in 2021 dollars</t>
  </si>
  <si>
    <t>urban population: 81.5% of total population (2023) rate of urbanization: 0.31% annual rate of change (2020-25 est.)</t>
  </si>
  <si>
    <t>Southwestern Europe, bordering the Mediterranean Sea, North Atlantic Ocean, Bay of Biscay, and Pyrenees Mountains; southwest of France</t>
  </si>
  <si>
    <t>high-income, core-EU and eurozone economy; strong growth driven by public consumption, tourism, and other service exports; tight labor market despite high structural unemployment; efforts to narrow persistent fiscal deficits through tax and spending measures; high but declining unemployment supported by job growth and immigration</t>
  </si>
  <si>
    <t>Spanish Armed Forces (Fuerzas Armadas de Espana): Army (Ej&amp;eacute;rcito de Tierra), Spanish Navy (Armada Espanola; includes Marine Corps), Air and Space Force (Ej&amp;eacute;rcito del Aire y del Espacio), Emergency Response Unit (Unidad Militar de Emergencias); Civil Guard (Guardia Civil)Ministry of the Interior: Spanish National Police (Cuerpo Naciona</t>
  </si>
  <si>
    <t>$2.279 trillion (2023 est.) $2.22 trillion (2022 est.) $2.091 trillion (2021 est.) note: data in 2021 dollars</t>
  </si>
  <si>
    <t>urban population: 81.6% of total population (2023) rate of urbanization: 0.24% annual rate of change (2020-25 est.) note: data include Canary Islands, Ceuta, and Melilla</t>
  </si>
  <si>
    <t>Northern Europe, bordering the Baltic Sea, Gulf of Bothnia, Kattegat, and Skagerrak, between Finland and Norway</t>
  </si>
  <si>
    <t>high-income, largest Nordic economy; EU member but does not use the euro; export-oriented, led by automotive, electronics, machinery, and pharmaceuticals; highly ranked for competitiveness, R&amp;amp;D investments and governance; recovery, with falling inflation and real wage growth balanced by risks from trade uncertainty</t>
  </si>
  <si>
    <t>Swedish Armed Forces (Forsvarsmakten): Army, Navy, Air Force, Home Guard (202)</t>
  </si>
  <si>
    <t>$665.016 billion (2023 est.) $667.089 billion (2022 est.) $657.494 billion (2021 est.) note: data in 2021 dollars</t>
  </si>
  <si>
    <t>urban population: 88.7% of total population (2023) rate of urbanization: 0.89% annual rate of change (2020-25 est.)</t>
  </si>
  <si>
    <t>Eastern Asia, islands bordering the East China Sea, Philippine Sea, South China Sea, and Taiwan Strait, north of the Philippines, off the southeastern coast of China</t>
  </si>
  <si>
    <t>high-income East Asian economy; most technologically advanced computer microchip manufacturing; increasing Chinese interference threatens market capabilities; minimum wages rising; longstanding regional socioeconomic inequality</t>
  </si>
  <si>
    <t>Taiwan Armed Forces: Army, Navy (includes Marine Corps), Air ForceOcean Affairs Council: Coast Guard Administration (CGA)Ministry of Interior: National Police (2025) note: the CGA is a law enforcement organization with homeland security functions during peacetime and national defense missions during wartime</t>
  </si>
  <si>
    <t>$1.743 trillion (2023 est.) $1.664 trillion (2022 est.) $1.512 trillion (2021 est.)</t>
  </si>
  <si>
    <t>urban population: 80.1% of total population (2023) rate of urbanization: 0.65% annual rate of change (2020-25 est.)</t>
  </si>
  <si>
    <t>Southeastern Asia, bordering the Andaman Sea and the Gulf of Thailand, southeast of Burma</t>
  </si>
  <si>
    <t>upper middle-income Southeast Asian economy; substantial infrastructure; major electronics, food, and automobile parts exporter; globally used currency; extremely low unemployment, even amid COVID-19; ongoing Thailand 4.0 economic development</t>
  </si>
  <si>
    <t>Royal Thai Armed Forces (RTARF): Royal Thai Army (RTA), Royal Thai Navy (RTN; includes Royal Thai Marine Corps), Royal Thai Air Force (RTAF)Office of the Prime Minister: Royal Thai Police (2025) note: official paramilitary forces in Thailand include the Thai Rangers (Thahan Phran or \</t>
  </si>
  <si>
    <t>$1.516 trillion (2023 est.) $1.488 trillion (2022 est.) $1.452 trillion (2021 est.) note: data in 2021 dollars</t>
  </si>
  <si>
    <t>urban population: 53.6% of total population (2023) rate of urbanization: 1.43% annual rate of change (2020-25 est.)</t>
  </si>
  <si>
    <t>electrification - total population: 99.9% (2022 est.) electrification - urban areas: 100% electrification - rural areas: 100%</t>
  </si>
  <si>
    <t>Southeastern Europe and Southwestern Asia (that portion of Turkey west of the Bosporus is geographically part of Europe), bordering the Black Sea, between Bulgaria and Georgia, and bordering the Aegea</t>
  </si>
  <si>
    <t>upper-middle-income, diversified Middle Eastern economy; industrializing economy that maintains large agricultural base; key energy, tourism, and construction sectors; high inflation, interest rates, and foreign debt pose risk to financial stability</t>
  </si>
  <si>
    <t xml:space="preserve">Turkish Armed Forces (TAF; Turk Silahlı Kuvvetleri, TSK): Turkish Land Forces (Turk Kara Kuvvetleri), Turkish Naval Forces (Turk Deniz Kuvvetleri; includes naval air and naval infantry), Turkish Air Forces (Turk Hava Kuvvetleri)Ministry of Interior: Gendarmerie General Command (aka Gendarmerie of the Turkish Republic), Turkish Coast Guard Command, </t>
  </si>
  <si>
    <t>$2.953 trillion (2023 est.) $2.81 trillion (2022 est.) $2.662 trillion (2021 est.) note: data in 2021 dollars</t>
  </si>
  <si>
    <t>urban population: 77.5% of total population (2023) rate of urbanization: 1.11% annual rate of change (2020-25 est.)</t>
  </si>
  <si>
    <t>Eastern Europe, bordering the Black Sea, between Poland, Belarus, Romania, and Moldova in the west and Russia in the east</t>
  </si>
  <si>
    <t>lower-middle-income, non-EU, Eastern European economy; key wheat and corn exporter; gradual recovery after 30% GDP contraction at start of war; damage to infrastructure and agriculture balanced by consumer and business resilience in western Ukraine; international aid has stabilized foreign exchange reserves, allowing managed currency float; continu</t>
  </si>
  <si>
    <t>Armed Forces of Ukraine (AFU; Zbroyni Syly Ukrayiny or ZSU): Ground Forces, Naval Forces, Air Forces, Air Assault Forces, Marine Corps, Special Operations Forces, Unmanned Systems Forces, Territorial Defense Forces (Reserves)Ministry of Internal Affairs: National Guard of Ukraine, State Border Guard Service of Ukraine (includes Maritime Border Guar</t>
  </si>
  <si>
    <t>$560.111 billion (2023 est.) $531.796 billion (2022 est.) $746.471 billion (2021 est.) note: data in 2021 dollars</t>
  </si>
  <si>
    <t>urban population: 70.1% of total population (2023) rate of urbanization: -0.27% annual rate of change (2020-25 est.)</t>
  </si>
  <si>
    <t>Middle East, bordering the Gulf of Oman and the Persian Gulf, between Oman and Saudi Arabia</t>
  </si>
  <si>
    <t>high-income, oil-driven Middle Eastern economy; fastest GDP growth of Gulf states; diversification through tourism, construction, and services; strong foreign direct investment orientation; continued government investment and business-friendly reforms</t>
  </si>
  <si>
    <t>United Arab Emirates Armed Forces: Land Forces (Army), Navy, Air Force, Presidential Guard (includes special operations forces), National Guard (includes Coast Guard) (2025) note: each emirate maintains a local police force called a general directorate, which is officially a branch of the federal Ministry of Interior; all emirate-level general dire</t>
  </si>
  <si>
    <t>$718.95 billion (2023 est.) $693.842 billion (2022 est.) $645.376 billion (2021 est.) note: data in 2021 dollars</t>
  </si>
  <si>
    <t>urban population: 87.8% of total population (2023) rate of urbanization: 1.5% annual rate of change (2020-25 est.)</t>
  </si>
  <si>
    <t>Western Europe, islands - including the northern one-sixth of the island of Ireland - between the North Atlantic Ocean and the North Sea; northwest of France</t>
  </si>
  <si>
    <t>high-income, non-EU European economy; global financial center and dominant service sector; sluggish growth from stringent monetary policy, reduced business investment, low productivity and participation rates; fiscal austerity in face of high public debt</t>
  </si>
  <si>
    <t>United Kingdom Armed Forces (aka British Armed Forces, aka His Majesty's Armed Forces): British Army, Royal Navy (includes Royal Marines), Royal Air Force (2025)</t>
  </si>
  <si>
    <t>$3.728 trillion (2023 est.) $3.715 trillion (2022 est.) $3.544 trillion (2021 est.) note: data in 2021 dollars</t>
  </si>
  <si>
    <t>urban population: 84.6% of total population (2023) rate of urbanization: 0.8% annual rate of change (2020-25 est.)</t>
  </si>
  <si>
    <t>electrification - total population: 100% (2022 est.) electrification - urban areas: 99.9% electrification - rural areas: 100%</t>
  </si>
  <si>
    <t>North America, bordering both the North Atlantic Ocean and the North Pacific Ocean, between Canada and Mexico</t>
  </si>
  <si>
    <t>world&amp;rsquo;s largest economy by nominal GDP; largest importer and second-largest exporter; home to leading financial exchanges and global reserve currency; high and growing public debt; inflation moderating but remains above pre-pandemic levels</t>
  </si>
  <si>
    <t>United States Armed Forces (aka US Military): US Army (USA), US Navy (USN; includes US Marine Corps or USMC), US Air Force (USAF), US Space Force (USSF); US Coast Guard (USCG); National Guard (Army National Guard and Air National Guard) (2025) note 1: the US Coast Guard is administered in peacetime by the Department of Homeland Security, but in war</t>
  </si>
  <si>
    <t>$24.977 trillion (2023 est.) $24.276 trillion (2022 est.) $23.681 trillion (2021 est.) note: data in 2021 dollars</t>
  </si>
  <si>
    <t>urban population: 83.3% of total population (2023) rate of urbanization: 0.96% annual rate of change (2020-25 est.)</t>
  </si>
  <si>
    <t>Southeastern Asia, bordering the Gulf of Thailand, Gulf of Tonkin, and South China Sea, as well as China, Laos, and Cambodia</t>
  </si>
  <si>
    <t>lower middle-income socialist East Asian economy; rapid economic growth since Đổi Mới reforms; strong investment and productivity growth; tourism and manufacturing hub; TPP signatory; declining poverty aside from ethnic minorities; systemic corruption</t>
  </si>
  <si>
    <t>People's Army of Vietnam (PAVN; aka Vietnam People's Army, VPA): Ground Forces (Army), Navy (includes naval infantry), Air Defense - Air Force, Vietnam Border Guard, Vietnam Coast GuardVietnam People's Ministry of Public Security; Vietnam Civil Defense Force (2025) note 1: the People's Public Security Ministry is responsible for internal security a</t>
  </si>
  <si>
    <t>$1.354 trillion (2023 est.) $1.289 trillion (2022 est.) $1.192 trillion (2021 est.) note: data in 2021 dollars</t>
  </si>
  <si>
    <t>urban population: 39.5% of total population (2023) rate of urbanization: 2.7% annual rate of change (2020-25 est.)</t>
  </si>
  <si>
    <t>Middle East, bordering the Arabian Sea, Gulf of Aden, and Red Sea, between Oman and Saudi Arabia</t>
  </si>
  <si>
    <t>low-income Middle Eastern economy; infrastructure, trade, and economic institutions devastated by civil war; oil/gas-dependent but decreasing reserves; massive poverty, food insecurity, and unemployment; high inflation</t>
  </si>
  <si>
    <t>Yemeni Armed Forces: Yemeni National Army, Air Force and Air Defense, Navy and Coastal Defense Forces, Border Guard, Strategic Reserve Forces (includes Special Forces and Presidential Protection Brigades, which are under the Ministry of Defense but responsible to the president), Popular Committee Forces (aka Popular Resistance Forces; government-ba</t>
  </si>
  <si>
    <t>$73.63 billion (2017 est.) $78.28 billion (2016 est.) $90.63 billion (2015 est.) note: data are in 2017 dollars</t>
  </si>
  <si>
    <t>urban population: 39.8% of total population (2023) rate of urbanization: 3.71% annual rate of change (2015-20 est.)</t>
  </si>
  <si>
    <t>electrification - total population: 76% (2022 est.) electrification - urban areas: 96.1% electrification - rural areas: 65%</t>
  </si>
  <si>
    <t>DATA_ACLED  |  Aggregated Per Country · 2023-2025</t>
  </si>
  <si>
    <t>Source: acleddata.com via live fetch 2026-07-04 | Rolling year window ending Jul 2026</t>
  </si>
  <si>
    <t>Fatalities
2026</t>
  </si>
  <si>
    <t>Civilian Events
2024–2026</t>
  </si>
  <si>
    <t>Annual
PV Rate</t>
  </si>
  <si>
    <t>DATA_PORTWATCH  |  IMF PortWatch Chokepoint Database  |  Vessel Counts by Type</t>
  </si>
  <si>
    <t>Source: portwatch.imf.org  ·  Based on satellite AIS signals  ·  Download updated CSV weekly from portwatch.imf.org/datasets/</t>
  </si>
  <si>
    <t>Total Vessels</t>
  </si>
  <si>
    <t>Tankers</t>
  </si>
  <si>
    <t>Container</t>
  </si>
  <si>
    <t>Dry Bulk</t>
  </si>
  <si>
    <t>Top Industry 1</t>
  </si>
  <si>
    <t>Top Industry 2</t>
  </si>
  <si>
    <t>Mineral Products</t>
  </si>
  <si>
    <t>Vegetable Products</t>
  </si>
  <si>
    <t>Chemical &amp; Allied Industries</t>
  </si>
  <si>
    <t>Wood &amp; Wood Products</t>
  </si>
  <si>
    <t>DATA_FSI  |  Fragile States Index 2023</t>
  </si>
  <si>
    <t>Source: Fund for Peace. Higher scores = more fragile state. Range 0-120.</t>
  </si>
  <si>
    <t>Rank</t>
  </si>
  <si>
    <t>TOTAL</t>
  </si>
  <si>
    <t>Demographic</t>
  </si>
  <si>
    <t>Refugees/IDPs</t>
  </si>
  <si>
    <t>Group Griev.</t>
  </si>
  <si>
    <t>Brain Drain</t>
  </si>
  <si>
    <t>Econ Ineq.</t>
  </si>
  <si>
    <t>Economy</t>
  </si>
  <si>
    <t>State Legit.</t>
  </si>
  <si>
    <t>Public Services</t>
  </si>
  <si>
    <t>Human Rights</t>
  </si>
  <si>
    <t>1st</t>
  </si>
  <si>
    <t>2nd</t>
  </si>
  <si>
    <t>10th</t>
  </si>
  <si>
    <t>11th</t>
  </si>
  <si>
    <t>17th</t>
  </si>
  <si>
    <t>18th</t>
  </si>
  <si>
    <t>19th</t>
  </si>
  <si>
    <t>22nd</t>
  </si>
  <si>
    <t>27th</t>
  </si>
  <si>
    <t>38th</t>
  </si>
  <si>
    <t>40th</t>
  </si>
  <si>
    <t>46th</t>
  </si>
  <si>
    <t>49th</t>
  </si>
  <si>
    <t>50th</t>
  </si>
  <si>
    <t>52nd</t>
  </si>
  <si>
    <t>53rd</t>
  </si>
  <si>
    <t>59th</t>
  </si>
  <si>
    <t>61st</t>
  </si>
  <si>
    <t>68th</t>
  </si>
  <si>
    <t>73rd</t>
  </si>
  <si>
    <t>78th</t>
  </si>
  <si>
    <t>79th</t>
  </si>
  <si>
    <t>83rd</t>
  </si>
  <si>
    <t>85th</t>
  </si>
  <si>
    <t>90th</t>
  </si>
  <si>
    <t>91st</t>
  </si>
  <si>
    <t>98th</t>
  </si>
  <si>
    <t>100th</t>
  </si>
  <si>
    <t>101st</t>
  </si>
  <si>
    <t>102nd</t>
  </si>
  <si>
    <t>108th</t>
  </si>
  <si>
    <t>110th</t>
  </si>
  <si>
    <t>112th</t>
  </si>
  <si>
    <t>117th</t>
  </si>
  <si>
    <t>118th</t>
  </si>
  <si>
    <t>124th</t>
  </si>
  <si>
    <t>129th</t>
  </si>
  <si>
    <t>131st</t>
  </si>
  <si>
    <t>133rd</t>
  </si>
  <si>
    <t>134th</t>
  </si>
  <si>
    <t>137th</t>
  </si>
  <si>
    <t>136th</t>
  </si>
  <si>
    <t>139th</t>
  </si>
  <si>
    <t>141st</t>
  </si>
  <si>
    <t>142nd</t>
  </si>
  <si>
    <t>143rd</t>
  </si>
  <si>
    <t>144th</t>
  </si>
  <si>
    <t>147th</t>
  </si>
  <si>
    <t>148th</t>
  </si>
  <si>
    <t>149th</t>
  </si>
  <si>
    <t>150th</t>
  </si>
  <si>
    <t>156th</t>
  </si>
  <si>
    <t>159th</t>
  </si>
  <si>
    <t>161st</t>
  </si>
  <si>
    <t>162nd</t>
  </si>
  <si>
    <t>164th</t>
  </si>
  <si>
    <t>165th</t>
  </si>
  <si>
    <t>166th</t>
  </si>
  <si>
    <t>168th</t>
  </si>
  <si>
    <t>170th</t>
  </si>
  <si>
    <t>173rd</t>
  </si>
  <si>
    <t>174th</t>
  </si>
  <si>
    <t>177th</t>
  </si>
  <si>
    <t>179th</t>
  </si>
  <si>
    <t>00 CONFIGURATION  |  Ring &amp; Pillar Weights | Risk Bands</t>
  </si>
  <si>
    <t>RING WEIGHTS  (must sum to 1.00)</t>
  </si>
  <si>
    <t>Parameter</t>
  </si>
  <si>
    <t>Named Cell</t>
  </si>
  <si>
    <t>Ring 1: Primary Controller(s)</t>
  </si>
  <si>
    <t>W_Ring1</t>
  </si>
  <si>
    <t>Countries that physically control the chokepoint</t>
  </si>
  <si>
    <t>Ring 2: Surrounding Countries</t>
  </si>
  <si>
    <t>W_Ring2</t>
  </si>
  <si>
    <t>Adjacent states with operational influence</t>
  </si>
  <si>
    <t>Ring 3: Outside Influencers</t>
  </si>
  <si>
    <t>W_Ring3</t>
  </si>
  <si>
    <t>Great powers / regional actors shaping Rings 1+2</t>
  </si>
  <si>
    <t>Ring 4: Environmental Modifier</t>
  </si>
  <si>
    <t>W_Ring4</t>
  </si>
  <si>
    <t>ERA5 weather · geography · bypass availability</t>
  </si>
  <si>
    <t>SUM →</t>
  </si>
  <si>
    <t>COUNTRY-RISK PILLAR WEIGHTS  (must sum to 1.00)</t>
  </si>
  <si>
    <t>Pillar</t>
  </si>
  <si>
    <t>P1: Governance &amp; Corruption</t>
  </si>
  <si>
    <t>W_P1</t>
  </si>
  <si>
    <t>CPI · Democracy · Rule of Law · Freedom Index</t>
  </si>
  <si>
    <t>P2: Economic Strength</t>
  </si>
  <si>
    <t>W_P2</t>
  </si>
  <si>
    <t>GDP/cap (log) · Inflation · Unemployment · Debt/GDP</t>
  </si>
  <si>
    <t>P3: Security Environment</t>
  </si>
  <si>
    <t>W_P3</t>
  </si>
  <si>
    <t>GPI · Terrorism Index · Military Spend · ACLED events</t>
  </si>
  <si>
    <t>P4: Political Stability</t>
  </si>
  <si>
    <t>W_P4</t>
  </si>
  <si>
    <t>Political Stability Percentile · FSI Total</t>
  </si>
  <si>
    <t>P5: External Influence</t>
  </si>
  <si>
    <t>W_P5</t>
  </si>
  <si>
    <t>Proxy: Military spend + conflict pressure (pending sanctions data)</t>
  </si>
  <si>
    <t>P6: Infrastructure</t>
  </si>
  <si>
    <t>W_P6</t>
  </si>
  <si>
    <t>Electricity access % · GDP/cap (log)</t>
  </si>
  <si>
    <t>RISK BANDS</t>
  </si>
  <si>
    <t>Score Range</t>
  </si>
  <si>
    <t>Band</t>
  </si>
  <si>
    <t>Hex</t>
  </si>
  <si>
    <t>Action</t>
  </si>
  <si>
    <t>0 – 20</t>
  </si>
  <si>
    <t>#27AE60</t>
  </si>
  <si>
    <t>Proceed. Standard monitoring.</t>
  </si>
  <si>
    <t>21 – 40</t>
  </si>
  <si>
    <t>#F1C40F</t>
  </si>
  <si>
    <t>Enhanced monitoring. Quarterly review.</t>
  </si>
  <si>
    <t>41 – 60</t>
  </si>
  <si>
    <t>#E67E22</t>
  </si>
  <si>
    <t>Flag for review. Identify bypass routes.</t>
  </si>
  <si>
    <t>61 – 80</t>
  </si>
  <si>
    <t>#E74C3C</t>
  </si>
  <si>
    <t>Escalate. Reroute planning required.</t>
  </si>
  <si>
    <t>81 – 100</t>
  </si>
  <si>
    <t>#C0392B</t>
  </si>
  <si>
    <t>Immediate escalation. Do not rely on route.</t>
  </si>
  <si>
    <t>SCORING METHODOLOGY</t>
  </si>
  <si>
    <t>STEP 1 WINSORIZATION</t>
  </si>
  <si>
    <t>Extreme values (top/bottom 2.5% of each indicator's distribution) are CAPPED at the 2.5th and 97.5th percentiles. This prevents outliers like Yemen's inflation or Singapore's GDP/capita from dominating the entire distribution and pulling normal countries toward the middle. So, standard practice in enterprise credit and country risk scorin is followoed using Moody's, S&amp;P, MSCI the models for those varients.</t>
  </si>
  <si>
    <t>STEP 2 MIN-MAX NORMALIZATION</t>
  </si>
  <si>
    <t>Every raw indicator is rescaled to a 0-100 scale using min-max normalization across the population of 65 target countries. The formula is: normalized = (value - min) / (max - min) × 100. This makes indicators on wildly different native scales (GDP in USD vs Terrorism Index 0-10 vs Debt as % of GDP) to be better cross referenced and averageable.</t>
  </si>
  <si>
    <t>STEP 3 DIRECTION HANDLING</t>
  </si>
  <si>
    <t>Indicators where HIGHER = BETTER (CPI, Democracy Index, Rule of Law, Freedom Index, GDP/capita, Political Stability, Electricity Access) are INVERTED so that HIGHER = HIGHER RISK on the 0-100 scale. This ensures every score reads the same direction and can be averaged without silent bias.</t>
  </si>
  <si>
    <t>STEP 4 LOG TRANSFORMATION</t>
  </si>
  <si>
    <t>GDP per capita is log transformed BEFORE normalization because the distribution is heavily right-skewed (Luxembourg $158k vs Somalia $500). Without log transform, min-max would compress everyone except the top 3 into the bottom 10% of the scale (not good).</t>
  </si>
  <si>
    <t>STEP 5 PILLAR AGGREGATION</t>
  </si>
  <si>
    <t>Within each of the six pillars, the normalized indicators are scored as the average with EQUAL WEIGHT. Missing indicators are dropped from the average rather than assumed, so a country with 3 out of 4 governance indicators can still get a valid score based on what's available.</t>
  </si>
  <si>
    <t>STEP 6 COUNTRY RISK</t>
  </si>
  <si>
    <t>The Country Risk Score is weighted as the average of the six pillars using the weights in 00_CONFIG. If you change the weights in the Config sheet, the whole model will recalculate (just remember to save). Currently at P1=20%, P2=15%, P3=20%, P4=15%, P5=15%, P6=15%.</t>
  </si>
  <si>
    <t>STEP 7 RING AGGREGATION</t>
  </si>
  <si>
    <t>For each chokepoint's Ring 1 / Ring 2 / Ring 3, the score is the SIMPLE MEAN of the country risk scores of the countries in that ring. Ring 3 is currently a placeholder (see P5 pillar) until sanctions/alliance data is scraped from OFAC/EU.</t>
  </si>
  <si>
    <t>STEP 8 FINAL CHOKEPOINT SCORE</t>
  </si>
  <si>
    <t>The final score is calculated as R1×50% + R2×25% + R3×15% + Environmental×10%. The environmental score comes from three data sources such as geography weighted at 35%, weather weighted at 40%, and the bypass availability weighted at 25%. Geography covers strait width, depth, and number of shipping lanes. While weather uses ERA5 wave height and wind speed data from ECMWF Copernicus covering 2023 to 2026. The bypass reflects whether an alternative route exists and how costly it is to use. Overall, all ring weights are adjustable in the 00_CONFIG sheet.</t>
  </si>
  <si>
    <t>SOURCES USED</t>
  </si>
  <si>
    <t>Conclusion</t>
  </si>
  <si>
    <t>If a cell is empty, the index did not publish a score for that country. So, the model still scored that country using everything else it had.</t>
  </si>
  <si>
    <t>Change dropdown above</t>
  </si>
  <si>
    <t>Each pillar is the average of its normalized indicators (0-100, higher = higher risk). COUNTRY RISK is the weighted average per 00_CONFIG using python to write to the workbook.</t>
  </si>
  <si>
    <t>5 July 2026, 19:04 Danish Summer Time (CEST)</t>
  </si>
  <si>
    <t>ENV_SCORES  |  Environmental Modifier  |  Geo x 35% + Weather x 40% + Bypass x 25%</t>
  </si>
  <si>
    <t>Transparency International: CPI 2025, EIU: Democracy Index 2026, Cato Institute: Human Freedom Index 2026, World Justice Project: Rule of Law Index 2026, IMF: GDP per Capita 2026, WorldPopulationReview: Inflation Rate 2026, Unemployment Rate 2026, Debt-to-GDP Ratio 2026, Military Spending % GDP 2026, Vision of Humanity: Global Peace Index 2026, Global Terrorism Index 2026, World Bank: Political Stability Percentile 2026, Fund for Peace: Fragile States Index 2023, ACLED: Political Violence Events, Fatalities, Civilian Targeting 2023-2026, CIA World Factbook: Location, Economy, Military, Electricity Access 2026, ECMWF Copernicus: ERA5 Wave Height and Wind Speed 2023-2026, IMF PortWatch: Chokepoint Vessel Transit Counts, HyperVolatility: Strait Width and Depth, IMO/BIMCO: Navigable Width and Minimum Depth</t>
  </si>
  <si>
    <t>Maritime Chokepoint Risk Monitor · WPR + FSI + ACLED + CIA Factbook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</si>
</sst>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1"/>
      <color theme="1"/>
      <name val="Calibri"/>
      <family val="2"/>
      <charset val="1"/>
    </font>
    <font>
      <b/>
      <sz val="18"/>
      <color rgb="FFFFFFFF"/>
      <name val="Arial"/>
      <charset val="1"/>
    </font>
    <font>
      <sz val="8"/>
      <color rgb="FFD5D8DC"/>
      <name val="Arial"/>
      <charset val="1"/>
    </font>
    <font>
      <sz val="10"/>
      <color rgb="FFD5D8DC"/>
      <name val="Arial"/>
      <charset val="1"/>
    </font>
    <font>
      <b/>
      <sz val="10"/>
      <color rgb="FFF39C12"/>
      <name val="Arial"/>
      <charset val="1"/>
    </font>
    <font>
      <b/>
      <sz val="11"/>
      <color rgb="FFFFFFFF"/>
      <name val="Arial"/>
      <charset val="1"/>
    </font>
    <font>
      <b/>
      <sz val="9"/>
      <color rgb="FFF39C12"/>
      <name val="Arial"/>
      <charset val="1"/>
    </font>
    <font>
      <b/>
      <sz val="14"/>
      <color rgb="FFFFFFFF"/>
      <name val="Arial"/>
      <charset val="1"/>
    </font>
    <font>
      <sz val="9"/>
      <color rgb="FFD5D8DC"/>
      <name val="Arial"/>
      <charset val="1"/>
    </font>
    <font>
      <b/>
      <sz val="10"/>
      <color rgb="FFFFFFFF"/>
      <name val="Arial"/>
      <charset val="1"/>
    </font>
    <font>
      <b/>
      <sz val="9"/>
      <color rgb="FF1C2833"/>
      <name val="Arial"/>
      <charset val="1"/>
    </font>
    <font>
      <sz val="9"/>
      <color rgb="FF1C2833"/>
      <name val="Arial"/>
      <charset val="1"/>
    </font>
    <font>
      <b/>
      <sz val="9"/>
      <color rgb="FF1B2A4A"/>
      <name val="Arial"/>
      <charset val="1"/>
    </font>
    <font>
      <b/>
      <sz val="9"/>
      <color rgb="FF2980B9"/>
      <name val="Arial"/>
      <charset val="1"/>
    </font>
    <font>
      <sz val="9"/>
      <color rgb="FF555555"/>
      <name val="Arial"/>
      <charset val="1"/>
    </font>
    <font>
      <sz val="9"/>
      <color rgb="FF888888"/>
      <name val="Arial"/>
      <charset val="1"/>
    </font>
    <font>
      <b/>
      <sz val="10"/>
      <color rgb="FF1B2A4A"/>
      <name val="Arial"/>
      <charset val="1"/>
    </font>
    <font>
      <b/>
      <sz val="9"/>
      <color rgb="FFFFFFFF"/>
      <name val="Arial"/>
      <charset val="1"/>
    </font>
    <font>
      <b/>
      <sz val="13"/>
      <color rgb="FFFFFFFF"/>
      <name val="Arial"/>
      <charset val="1"/>
    </font>
    <font>
      <sz val="9"/>
      <color rgb="FFFFFFFF"/>
      <name val="Arial"/>
      <charset val="1"/>
    </font>
    <font>
      <sz val="9"/>
      <color rgb="FF1C2833"/>
      <name val="Consolas"/>
      <charset val="1"/>
    </font>
    <font>
      <sz val="8"/>
      <color rgb="FF1C2833"/>
      <name val="Arial"/>
      <charset val="1"/>
    </font>
    <font>
      <sz val="9"/>
      <color rgb="FF2980B9"/>
      <name val="Arial"/>
      <charset val="1"/>
    </font>
    <font>
      <b/>
      <sz val="9"/>
      <color rgb="FF27AE60"/>
      <name val="Arial"/>
      <charset val="1"/>
    </font>
    <font>
      <sz val="9"/>
      <color rgb="FF1C2833"/>
      <name val="Arial"/>
    </font>
    <font>
      <sz val="9"/>
      <color rgb="FF1B4F72"/>
      <name val="Arial"/>
    </font>
    <font>
      <sz val="8"/>
      <color rgb="FFF39C12"/>
      <name val="Arial"/>
    </font>
    <font>
      <b/>
      <sz val="9"/>
      <color rgb="FF1C2833"/>
      <name val="Arial"/>
    </font>
    <font>
      <sz val="9"/>
      <color rgb="FF1C2833"/>
      <name val="Arial"/>
    </font>
    <font>
      <b/>
      <sz val="13"/>
      <color rgb="FFFFFFFF"/>
      <name val="Arial"/>
    </font>
    <font>
      <sz val="9"/>
      <color rgb="FFFFFFFF"/>
      <name val="Arial"/>
    </font>
    <font>
      <b/>
      <sz val="9"/>
      <color rgb="FFFFFFFF"/>
      <name val="Arial"/>
    </font>
    <font>
      <b/>
      <sz val="9"/>
      <color rgb="FF1B2A4A"/>
      <name val="Arial"/>
    </font>
    <font>
      <sz val="9"/>
      <color rgb="FF1C2833"/>
      <name val="Arial"/>
    </font>
    <font>
      <b/>
      <sz val="9"/>
      <color rgb="FF1C2833"/>
      <name val="Arial"/>
    </font>
    <font>
      <b/>
      <sz val="10"/>
      <color rgb="FFFFFFFF"/>
      <name val="Arial"/>
    </font>
    <font>
      <b/>
      <sz val="9"/>
      <color rgb="FF2980B9"/>
      <name val="Arial"/>
    </font>
    <font>
      <b/>
      <sz val="9"/>
      <color rgb="FFFFFFFF"/>
      <name val="Arial"/>
    </font>
    <font>
      <sz val="9"/>
      <color rgb="FF1C2833"/>
      <name val="Arial"/>
    </font>
    <font>
      <b/>
      <sz val="11"/>
      <color rgb="FF1B2A4A"/>
      <name val="Arial"/>
    </font>
    <font>
      <b/>
      <sz val="10"/>
      <color rgb="FFFFFFFF"/>
      <name val="Arial"/>
    </font>
    <font>
      <b/>
      <sz val="9"/>
      <color rgb="FF1C2833"/>
      <name val="Arial"/>
    </font>
  </fonts>
  <fills count="35">
    <fill>
      <patternFill patternType="none"/>
    </fill>
    <fill>
      <patternFill patternType="gray125"/>
    </fill>
    <fill>
      <patternFill patternType="solid">
        <fgColor rgb="FF1B2A4A"/>
        <bgColor rgb="FF1C2833"/>
      </patternFill>
    </fill>
    <fill>
      <patternFill patternType="solid">
        <fgColor rgb="FF2E4A6B"/>
        <bgColor rgb="FF1A3558"/>
      </patternFill>
    </fill>
    <fill>
      <patternFill patternType="solid">
        <fgColor rgb="FF1A3558"/>
        <bgColor rgb="FF1B2A4A"/>
      </patternFill>
    </fill>
    <fill>
      <patternFill patternType="solid">
        <fgColor rgb="FF2980B9"/>
        <bgColor rgb="FF0066CC"/>
      </patternFill>
    </fill>
    <fill>
      <patternFill patternType="solid">
        <fgColor rgb="FFD5D8DC"/>
        <bgColor rgb="FFC0C0C0"/>
      </patternFill>
    </fill>
    <fill>
      <patternFill patternType="solid">
        <fgColor rgb="FFFFFFFF"/>
        <bgColor rgb="FFF8F9FA"/>
      </patternFill>
    </fill>
    <fill>
      <patternFill patternType="solid">
        <fgColor rgb="FFF2F4F7"/>
        <bgColor rgb="FFF8F9FA"/>
      </patternFill>
    </fill>
    <fill>
      <patternFill patternType="solid">
        <fgColor rgb="FFE74C3C"/>
        <bgColor rgb="FFC0392B"/>
      </patternFill>
    </fill>
    <fill>
      <patternFill patternType="solid">
        <fgColor rgb="FFE67E22"/>
        <bgColor rgb="FFF39C12"/>
      </patternFill>
    </fill>
    <fill>
      <patternFill patternType="solid">
        <fgColor rgb="FFF1C40F"/>
        <bgColor rgb="FFF39C12"/>
      </patternFill>
    </fill>
    <fill>
      <patternFill patternType="solid">
        <fgColor rgb="FF27AE60"/>
        <bgColor rgb="FF16A085"/>
      </patternFill>
    </fill>
    <fill>
      <patternFill patternType="solid">
        <fgColor rgb="FFC0392B"/>
        <bgColor rgb="FFE74C3C"/>
      </patternFill>
    </fill>
    <fill>
      <patternFill patternType="solid">
        <fgColor rgb="FFFFFFFF"/>
      </patternFill>
    </fill>
    <fill>
      <patternFill patternType="solid">
        <fgColor rgb="FFF2F4F7"/>
      </patternFill>
    </fill>
    <fill>
      <patternFill patternType="solid">
        <fgColor rgb="FFF2F4F7"/>
      </patternFill>
    </fill>
    <fill>
      <patternFill patternType="solid">
        <fgColor rgb="FFFFFFFF"/>
      </patternFill>
    </fill>
    <fill>
      <patternFill patternType="solid">
        <fgColor rgb="FF1B2A4A"/>
      </patternFill>
    </fill>
    <fill>
      <patternFill patternType="solid">
        <fgColor rgb="FF2E4A6B"/>
      </patternFill>
    </fill>
    <fill>
      <patternFill patternType="solid">
        <fgColor rgb="FFFFFFFF"/>
      </patternFill>
    </fill>
    <fill>
      <patternFill patternType="solid">
        <fgColor rgb="FFF1C40F"/>
      </patternFill>
    </fill>
    <fill>
      <patternFill patternType="solid">
        <fgColor rgb="FFF2F4F7"/>
      </patternFill>
    </fill>
    <fill>
      <patternFill patternType="solid">
        <fgColor rgb="FFE74C3C"/>
      </patternFill>
    </fill>
    <fill>
      <patternFill patternType="solid">
        <fgColor rgb="FFE67E22"/>
      </patternFill>
    </fill>
    <fill>
      <patternFill patternType="solid">
        <fgColor rgb="FF27AE60"/>
      </patternFill>
    </fill>
    <fill>
      <patternFill patternType="solid">
        <fgColor rgb="FFE67E22"/>
      </patternFill>
    </fill>
    <fill>
      <patternFill patternType="solid">
        <fgColor rgb="FFF1C40F"/>
      </patternFill>
    </fill>
    <fill>
      <patternFill patternType="solid">
        <fgColor rgb="FFE74C3C"/>
      </patternFill>
    </fill>
    <fill>
      <patternFill patternType="solid">
        <fgColor rgb="FFE67E22"/>
      </patternFill>
    </fill>
    <fill>
      <patternFill patternType="solid">
        <fgColor rgb="FFF1C40F"/>
      </patternFill>
    </fill>
    <fill>
      <patternFill patternType="solid">
        <fgColor rgb="FFFFFFFF"/>
      </patternFill>
    </fill>
    <fill>
      <patternFill patternType="solid">
        <fgColor rgb="FFF2F4F7"/>
      </patternFill>
    </fill>
    <fill>
      <patternFill patternType="solid">
        <fgColor rgb="FFE74C3C"/>
      </patternFill>
    </fill>
    <fill>
      <patternFill patternType="solid">
        <fgColor rgb="FF27AE60"/>
      </patternFill>
    </fill>
  </fills>
  <borders count="1">
    <border>
      <left/>
      <right/>
      <top/>
      <bottom/>
      <diagonal/>
    </border>
  </borders>
  <cellStyleXfs count="1">
    <xf numFmtId="0" fontId="0" fillId="0" borderId="0"/>
  </cellStyleXfs>
  <cellXfs count="134">
    <xf numFmtId="0" fontId="0" fillId="0" borderId="0" xfId="0"/>
    <xf numFmtId="0" fontId="9" fillId="3" borderId="0" xfId="0" applyFont="1" applyFill="1" applyAlignment="1">
      <alignment horizontal="left" vertical="center" wrapText="1"/>
    </xf>
    <xf numFmtId="0" fontId="10" fillId="6" borderId="0" xfId="0" applyFont="1" applyFill="1" applyAlignment="1">
      <alignment horizontal="left" vertical="center" wrapText="1"/>
    </xf>
    <xf numFmtId="0" fontId="11" fillId="7" borderId="0" xfId="0" applyFont="1" applyFill="1" applyAlignment="1">
      <alignment horizontal="left" vertical="center" wrapText="1"/>
    </xf>
    <xf numFmtId="0" fontId="0" fillId="2" borderId="0" xfId="0" applyFill="1"/>
    <xf numFmtId="0" fontId="2" fillId="2" borderId="0" xfId="0" applyFont="1" applyFill="1" applyAlignment="1">
      <alignment horizontal="right" vertical="center"/>
    </xf>
    <xf numFmtId="0" fontId="0" fillId="3" borderId="0" xfId="0" applyFill="1"/>
    <xf numFmtId="0" fontId="4" fillId="3" borderId="0" xfId="0" applyFont="1" applyFill="1" applyAlignment="1">
      <alignment horizontal="left" vertical="center" wrapText="1"/>
    </xf>
    <xf numFmtId="0" fontId="6" fillId="3" borderId="0" xfId="0" applyFont="1" applyFill="1" applyAlignment="1">
      <alignment horizontal="right" vertical="center"/>
    </xf>
    <xf numFmtId="164" fontId="7" fillId="4" borderId="0" xfId="0" applyNumberFormat="1" applyFont="1" applyFill="1" applyAlignment="1">
      <alignment horizontal="center" vertical="center" wrapText="1"/>
    </xf>
    <xf numFmtId="0" fontId="5" fillId="4" borderId="0" xfId="0" applyFont="1" applyFill="1" applyAlignment="1">
      <alignment horizontal="center" vertical="center" wrapText="1"/>
    </xf>
    <xf numFmtId="0" fontId="0" fillId="5" borderId="0" xfId="0" applyFill="1"/>
    <xf numFmtId="0" fontId="10" fillId="6" borderId="0" xfId="0" applyFont="1" applyFill="1" applyAlignment="1">
      <alignment horizontal="center" vertical="center" wrapText="1"/>
    </xf>
    <xf numFmtId="0" fontId="12" fillId="8" borderId="0" xfId="0" applyFont="1" applyFill="1" applyAlignment="1">
      <alignment horizontal="left" vertical="center" wrapText="1"/>
    </xf>
    <xf numFmtId="0" fontId="11" fillId="8" borderId="0" xfId="0" applyFont="1" applyFill="1" applyAlignment="1">
      <alignment horizontal="left" vertical="center" wrapText="1"/>
    </xf>
    <xf numFmtId="9" fontId="11" fillId="8" borderId="0" xfId="0" applyNumberFormat="1" applyFont="1" applyFill="1" applyAlignment="1">
      <alignment horizontal="center" vertical="center" wrapText="1"/>
    </xf>
    <xf numFmtId="164" fontId="13" fillId="8" borderId="0" xfId="0" applyNumberFormat="1" applyFont="1" applyFill="1" applyAlignment="1">
      <alignment horizontal="center" vertical="center" wrapText="1"/>
    </xf>
    <xf numFmtId="0" fontId="12" fillId="7" borderId="0" xfId="0" applyFont="1" applyFill="1" applyAlignment="1">
      <alignment horizontal="left" vertical="center" wrapText="1"/>
    </xf>
    <xf numFmtId="9" fontId="11" fillId="7" borderId="0" xfId="0" applyNumberFormat="1" applyFont="1" applyFill="1" applyAlignment="1">
      <alignment horizontal="center" vertical="center" wrapText="1"/>
    </xf>
    <xf numFmtId="164" fontId="13" fillId="7" borderId="0" xfId="0" applyNumberFormat="1" applyFont="1" applyFill="1" applyAlignment="1">
      <alignment horizontal="center" vertical="center" wrapText="1"/>
    </xf>
    <xf numFmtId="0" fontId="15" fillId="7" borderId="0" xfId="0" applyFont="1" applyFill="1" applyAlignment="1">
      <alignment horizontal="center" vertical="center" wrapText="1"/>
    </xf>
    <xf numFmtId="0" fontId="10" fillId="8" borderId="0" xfId="0" applyFont="1" applyFill="1" applyAlignment="1">
      <alignment horizontal="center" vertical="center" wrapText="1"/>
    </xf>
    <xf numFmtId="164" fontId="11" fillId="8" borderId="0" xfId="0" applyNumberFormat="1" applyFont="1" applyFill="1" applyAlignment="1">
      <alignment horizontal="center" vertical="center" wrapText="1"/>
    </xf>
    <xf numFmtId="1" fontId="11" fillId="8" borderId="0" xfId="0" applyNumberFormat="1" applyFont="1" applyFill="1" applyAlignment="1">
      <alignment horizontal="center" vertical="center" wrapText="1"/>
    </xf>
    <xf numFmtId="0" fontId="17" fillId="9" borderId="0" xfId="0" applyFont="1" applyFill="1" applyAlignment="1">
      <alignment horizontal="center" vertical="center" wrapText="1"/>
    </xf>
    <xf numFmtId="0" fontId="10" fillId="7" borderId="0" xfId="0" applyFont="1" applyFill="1" applyAlignment="1">
      <alignment horizontal="center" vertical="center" wrapText="1"/>
    </xf>
    <xf numFmtId="164" fontId="11" fillId="7" borderId="0" xfId="0" applyNumberFormat="1" applyFont="1" applyFill="1" applyAlignment="1">
      <alignment horizontal="center" vertical="center" wrapText="1"/>
    </xf>
    <xf numFmtId="1" fontId="11" fillId="7" borderId="0" xfId="0" applyNumberFormat="1" applyFont="1" applyFill="1" applyAlignment="1">
      <alignment horizontal="center" vertical="center" wrapText="1"/>
    </xf>
    <xf numFmtId="0" fontId="17" fillId="10" borderId="0" xfId="0" applyFont="1" applyFill="1" applyAlignment="1">
      <alignment horizontal="center" vertical="center" wrapText="1"/>
    </xf>
    <xf numFmtId="0" fontId="17" fillId="11" borderId="0" xfId="0" applyFont="1" applyFill="1" applyAlignment="1">
      <alignment horizontal="center" vertical="center" wrapText="1"/>
    </xf>
    <xf numFmtId="0" fontId="17" fillId="3" borderId="0" xfId="0" applyFont="1" applyFill="1" applyAlignment="1">
      <alignment horizontal="center" vertical="center" wrapText="1"/>
    </xf>
    <xf numFmtId="0" fontId="11" fillId="7" borderId="0" xfId="0" applyFont="1" applyFill="1" applyAlignment="1">
      <alignment horizontal="center" vertical="center" wrapText="1"/>
    </xf>
    <xf numFmtId="0" fontId="11" fillId="8" borderId="0" xfId="0" applyFont="1" applyFill="1" applyAlignment="1">
      <alignment horizontal="center" vertical="center" wrapText="1"/>
    </xf>
    <xf numFmtId="164" fontId="17" fillId="10" borderId="0" xfId="0" applyNumberFormat="1" applyFont="1" applyFill="1" applyAlignment="1">
      <alignment horizontal="center" vertical="center" wrapText="1"/>
    </xf>
    <xf numFmtId="164" fontId="17" fillId="11" borderId="0" xfId="0" applyNumberFormat="1" applyFont="1" applyFill="1" applyAlignment="1">
      <alignment horizontal="center" vertical="center" wrapText="1"/>
    </xf>
    <xf numFmtId="164" fontId="17" fillId="9" borderId="0" xfId="0" applyNumberFormat="1" applyFont="1" applyFill="1" applyAlignment="1">
      <alignment horizontal="center" vertical="center" wrapText="1"/>
    </xf>
    <xf numFmtId="164" fontId="17" fillId="12" borderId="0" xfId="0" applyNumberFormat="1" applyFont="1" applyFill="1" applyAlignment="1">
      <alignment horizontal="center" vertical="center" wrapText="1"/>
    </xf>
    <xf numFmtId="0" fontId="20" fillId="7" borderId="0" xfId="0" applyFont="1" applyFill="1" applyAlignment="1">
      <alignment horizontal="center" vertical="center" wrapText="1"/>
    </xf>
    <xf numFmtId="3" fontId="11" fillId="7" borderId="0" xfId="0" applyNumberFormat="1" applyFont="1" applyFill="1" applyAlignment="1">
      <alignment horizontal="center" vertical="center" wrapText="1"/>
    </xf>
    <xf numFmtId="1" fontId="17" fillId="9" borderId="0" xfId="0" applyNumberFormat="1" applyFont="1" applyFill="1" applyAlignment="1">
      <alignment horizontal="center" vertical="center" wrapText="1"/>
    </xf>
    <xf numFmtId="1" fontId="17" fillId="10" borderId="0" xfId="0" applyNumberFormat="1" applyFont="1" applyFill="1" applyAlignment="1">
      <alignment horizontal="center" vertical="center" wrapText="1"/>
    </xf>
    <xf numFmtId="1" fontId="17" fillId="11" borderId="0" xfId="0" applyNumberFormat="1" applyFont="1" applyFill="1" applyAlignment="1">
      <alignment horizontal="center" vertical="center" wrapText="1"/>
    </xf>
    <xf numFmtId="164" fontId="9" fillId="10" borderId="0" xfId="0" applyNumberFormat="1" applyFont="1" applyFill="1" applyAlignment="1">
      <alignment horizontal="center" vertical="center" wrapText="1"/>
    </xf>
    <xf numFmtId="0" fontId="20" fillId="8" borderId="0" xfId="0" applyFont="1" applyFill="1" applyAlignment="1">
      <alignment horizontal="center" vertical="center" wrapText="1"/>
    </xf>
    <xf numFmtId="3" fontId="11" fillId="8" borderId="0" xfId="0" applyNumberFormat="1" applyFont="1" applyFill="1" applyAlignment="1">
      <alignment horizontal="center" vertical="center" wrapText="1"/>
    </xf>
    <xf numFmtId="1" fontId="17" fillId="12" borderId="0" xfId="0" applyNumberFormat="1" applyFont="1" applyFill="1" applyAlignment="1">
      <alignment horizontal="center" vertical="center" wrapText="1"/>
    </xf>
    <xf numFmtId="164" fontId="9" fillId="11" borderId="0" xfId="0" applyNumberFormat="1" applyFont="1" applyFill="1" applyAlignment="1">
      <alignment horizontal="center" vertical="center" wrapText="1"/>
    </xf>
    <xf numFmtId="164" fontId="9" fillId="12" borderId="0" xfId="0" applyNumberFormat="1" applyFont="1" applyFill="1" applyAlignment="1">
      <alignment horizontal="center" vertical="center" wrapText="1"/>
    </xf>
    <xf numFmtId="0" fontId="17" fillId="12" borderId="0" xfId="0" applyFont="1" applyFill="1" applyAlignment="1">
      <alignment horizontal="center" vertical="center" wrapText="1"/>
    </xf>
    <xf numFmtId="1" fontId="17" fillId="13" borderId="0" xfId="0" applyNumberFormat="1" applyFont="1" applyFill="1" applyAlignment="1">
      <alignment horizontal="center" vertical="center" wrapText="1"/>
    </xf>
    <xf numFmtId="164" fontId="9" fillId="9" borderId="0" xfId="0" applyNumberFormat="1" applyFont="1" applyFill="1" applyAlignment="1">
      <alignment horizontal="center" vertical="center" wrapText="1"/>
    </xf>
    <xf numFmtId="164" fontId="9" fillId="13" borderId="0" xfId="0" applyNumberFormat="1" applyFont="1" applyFill="1" applyAlignment="1">
      <alignment horizontal="center" vertical="center" wrapText="1"/>
    </xf>
    <xf numFmtId="0" fontId="17" fillId="13" borderId="0" xfId="0" applyFont="1" applyFill="1" applyAlignment="1">
      <alignment horizontal="center" vertical="center" wrapText="1"/>
    </xf>
    <xf numFmtId="2" fontId="11" fillId="7" borderId="0" xfId="0" applyNumberFormat="1" applyFont="1" applyFill="1" applyAlignment="1">
      <alignment horizontal="center" vertical="center" wrapText="1"/>
    </xf>
    <xf numFmtId="2" fontId="11" fillId="8" borderId="0" xfId="0" applyNumberFormat="1" applyFont="1" applyFill="1" applyAlignment="1">
      <alignment horizontal="center" vertical="center" wrapText="1"/>
    </xf>
    <xf numFmtId="0" fontId="21" fillId="7" borderId="0" xfId="0" applyFont="1" applyFill="1" applyAlignment="1">
      <alignment horizontal="left" vertical="center" wrapText="1"/>
    </xf>
    <xf numFmtId="0" fontId="21" fillId="8" borderId="0" xfId="0" applyFont="1" applyFill="1" applyAlignment="1">
      <alignment horizontal="left" vertical="center" wrapText="1"/>
    </xf>
    <xf numFmtId="164" fontId="17" fillId="13" borderId="0" xfId="0" applyNumberFormat="1" applyFont="1" applyFill="1" applyAlignment="1">
      <alignment horizontal="center" vertical="center" wrapText="1"/>
    </xf>
    <xf numFmtId="0" fontId="22" fillId="8" borderId="0" xfId="0" applyFont="1" applyFill="1" applyAlignment="1">
      <alignment horizontal="center" vertical="center" wrapText="1"/>
    </xf>
    <xf numFmtId="2" fontId="10" fillId="8" borderId="0" xfId="0" applyNumberFormat="1" applyFont="1" applyFill="1" applyAlignment="1">
      <alignment horizontal="center" vertical="center" wrapText="1"/>
    </xf>
    <xf numFmtId="0" fontId="22" fillId="7" borderId="0" xfId="0" applyFont="1" applyFill="1" applyAlignment="1">
      <alignment horizontal="center" vertical="center" wrapText="1"/>
    </xf>
    <xf numFmtId="2" fontId="10" fillId="7" borderId="0" xfId="0" applyNumberFormat="1" applyFont="1" applyFill="1" applyAlignment="1">
      <alignment horizontal="center" vertical="center" wrapText="1"/>
    </xf>
    <xf numFmtId="0" fontId="10" fillId="6" borderId="0" xfId="0" applyFont="1" applyFill="1" applyAlignment="1">
      <alignment horizontal="right" vertical="center"/>
    </xf>
    <xf numFmtId="2" fontId="23" fillId="8" borderId="0" xfId="0" applyNumberFormat="1" applyFont="1" applyFill="1" applyAlignment="1">
      <alignment horizontal="center" vertical="center" wrapText="1"/>
    </xf>
    <xf numFmtId="3" fontId="24" fillId="14" borderId="0" xfId="0" applyNumberFormat="1" applyFont="1" applyFill="1" applyAlignment="1">
      <alignment horizontal="center" vertical="center" wrapText="1"/>
    </xf>
    <xf numFmtId="3" fontId="24" fillId="15" borderId="0" xfId="0" applyNumberFormat="1" applyFont="1" applyFill="1" applyAlignment="1">
      <alignment horizontal="center" vertical="center" wrapText="1"/>
    </xf>
    <xf numFmtId="3" fontId="25" fillId="14" borderId="0" xfId="0" applyNumberFormat="1" applyFont="1" applyFill="1" applyAlignment="1">
      <alignment horizontal="center" vertical="center" wrapText="1"/>
    </xf>
    <xf numFmtId="3" fontId="25" fillId="15" borderId="0" xfId="0" applyNumberFormat="1" applyFont="1" applyFill="1" applyAlignment="1">
      <alignment horizontal="center" vertical="center" wrapText="1"/>
    </xf>
    <xf numFmtId="164" fontId="27" fillId="16" borderId="0" xfId="0" applyNumberFormat="1" applyFont="1" applyFill="1" applyAlignment="1">
      <alignment horizontal="center" vertical="center" wrapText="1"/>
    </xf>
    <xf numFmtId="164" fontId="27" fillId="17" borderId="0" xfId="0" applyNumberFormat="1" applyFont="1" applyFill="1" applyAlignment="1">
      <alignment horizontal="center" vertical="center" wrapText="1"/>
    </xf>
    <xf numFmtId="0" fontId="28" fillId="17" borderId="0" xfId="0" applyFont="1" applyFill="1" applyAlignment="1">
      <alignment horizontal="left" vertical="center" wrapText="1"/>
    </xf>
    <xf numFmtId="0" fontId="28" fillId="16" borderId="0" xfId="0" applyFont="1" applyFill="1" applyAlignment="1">
      <alignment horizontal="left" vertical="center" wrapText="1"/>
    </xf>
    <xf numFmtId="164" fontId="33" fillId="20" borderId="0" xfId="0" applyNumberFormat="1" applyFont="1" applyFill="1" applyAlignment="1">
      <alignment horizontal="center" vertical="center" wrapText="1"/>
    </xf>
    <xf numFmtId="164" fontId="33" fillId="22" borderId="0" xfId="0" applyNumberFormat="1" applyFont="1" applyFill="1" applyAlignment="1">
      <alignment horizontal="center" vertical="center" wrapText="1"/>
    </xf>
    <xf numFmtId="0" fontId="31" fillId="19" borderId="0" xfId="0" applyFont="1" applyFill="1" applyAlignment="1">
      <alignment horizontal="center" vertical="center" wrapText="1"/>
    </xf>
    <xf numFmtId="0" fontId="32" fillId="20" borderId="0" xfId="0" applyFont="1" applyFill="1" applyAlignment="1">
      <alignment horizontal="left" vertical="center" wrapText="1"/>
    </xf>
    <xf numFmtId="3" fontId="33" fillId="20" borderId="0" xfId="0" applyNumberFormat="1" applyFont="1" applyFill="1" applyAlignment="1">
      <alignment horizontal="center" vertical="center" wrapText="1"/>
    </xf>
    <xf numFmtId="0" fontId="33" fillId="20" borderId="0" xfId="0" applyFont="1" applyFill="1" applyAlignment="1">
      <alignment horizontal="center" vertical="center" wrapText="1"/>
    </xf>
    <xf numFmtId="164" fontId="34" fillId="20" borderId="0" xfId="0" applyNumberFormat="1" applyFont="1" applyFill="1" applyAlignment="1">
      <alignment horizontal="center" vertical="center" wrapText="1"/>
    </xf>
    <xf numFmtId="2" fontId="33" fillId="20" borderId="0" xfId="0" applyNumberFormat="1" applyFont="1" applyFill="1" applyAlignment="1">
      <alignment horizontal="center" vertical="center" wrapText="1"/>
    </xf>
    <xf numFmtId="0" fontId="34" fillId="20" borderId="0" xfId="0" applyFont="1" applyFill="1" applyAlignment="1">
      <alignment horizontal="center" vertical="center" wrapText="1"/>
    </xf>
    <xf numFmtId="164" fontId="35" fillId="21" borderId="0" xfId="0" applyNumberFormat="1" applyFont="1" applyFill="1" applyAlignment="1">
      <alignment horizontal="center" vertical="center" wrapText="1"/>
    </xf>
    <xf numFmtId="164" fontId="36" fillId="20" borderId="0" xfId="0" applyNumberFormat="1" applyFont="1" applyFill="1" applyAlignment="1">
      <alignment horizontal="center" vertical="center" wrapText="1"/>
    </xf>
    <xf numFmtId="0" fontId="31" fillId="21" borderId="0" xfId="0" applyFont="1" applyFill="1" applyAlignment="1">
      <alignment horizontal="center" vertical="center" wrapText="1"/>
    </xf>
    <xf numFmtId="0" fontId="32" fillId="22" borderId="0" xfId="0" applyFont="1" applyFill="1" applyAlignment="1">
      <alignment horizontal="left" vertical="center" wrapText="1"/>
    </xf>
    <xf numFmtId="3" fontId="33" fillId="22" borderId="0" xfId="0" applyNumberFormat="1" applyFont="1" applyFill="1" applyAlignment="1">
      <alignment horizontal="center" vertical="center" wrapText="1"/>
    </xf>
    <xf numFmtId="0" fontId="33" fillId="22" borderId="0" xfId="0" applyFont="1" applyFill="1" applyAlignment="1">
      <alignment horizontal="center" vertical="center" wrapText="1"/>
    </xf>
    <xf numFmtId="164" fontId="34" fillId="22" borderId="0" xfId="0" applyNumberFormat="1" applyFont="1" applyFill="1" applyAlignment="1">
      <alignment horizontal="center" vertical="center" wrapText="1"/>
    </xf>
    <xf numFmtId="2" fontId="33" fillId="22" borderId="0" xfId="0" applyNumberFormat="1" applyFont="1" applyFill="1" applyAlignment="1">
      <alignment horizontal="center" vertical="center" wrapText="1"/>
    </xf>
    <xf numFmtId="0" fontId="34" fillId="22" borderId="0" xfId="0" applyFont="1" applyFill="1" applyAlignment="1">
      <alignment horizontal="center" vertical="center" wrapText="1"/>
    </xf>
    <xf numFmtId="164" fontId="36" fillId="22" borderId="0" xfId="0" applyNumberFormat="1" applyFont="1" applyFill="1" applyAlignment="1">
      <alignment horizontal="center" vertical="center" wrapText="1"/>
    </xf>
    <xf numFmtId="164" fontId="35" fillId="23" borderId="0" xfId="0" applyNumberFormat="1" applyFont="1" applyFill="1" applyAlignment="1">
      <alignment horizontal="center" vertical="center" wrapText="1"/>
    </xf>
    <xf numFmtId="0" fontId="31" fillId="23" borderId="0" xfId="0" applyFont="1" applyFill="1" applyAlignment="1">
      <alignment horizontal="center" vertical="center" wrapText="1"/>
    </xf>
    <xf numFmtId="164" fontId="35" fillId="24" borderId="0" xfId="0" applyNumberFormat="1" applyFont="1" applyFill="1" applyAlignment="1">
      <alignment horizontal="center" vertical="center" wrapText="1"/>
    </xf>
    <xf numFmtId="0" fontId="31" fillId="24" borderId="0" xfId="0" applyFont="1" applyFill="1" applyAlignment="1">
      <alignment horizontal="center" vertical="center" wrapText="1"/>
    </xf>
    <xf numFmtId="164" fontId="35" fillId="25" borderId="0" xfId="0" applyNumberFormat="1" applyFont="1" applyFill="1" applyAlignment="1">
      <alignment horizontal="center" vertical="center" wrapText="1"/>
    </xf>
    <xf numFmtId="0" fontId="31" fillId="25" borderId="0" xfId="0" applyFont="1" applyFill="1" applyAlignment="1">
      <alignment horizontal="center" vertical="center" wrapText="1"/>
    </xf>
    <xf numFmtId="0" fontId="33" fillId="20" borderId="0" xfId="0" applyFont="1" applyFill="1" applyAlignment="1">
      <alignment horizontal="left" vertical="center" wrapText="1"/>
    </xf>
    <xf numFmtId="0" fontId="33" fillId="22" borderId="0" xfId="0" applyFont="1" applyFill="1" applyAlignment="1">
      <alignment horizontal="left" vertical="center" wrapText="1"/>
    </xf>
    <xf numFmtId="0" fontId="0" fillId="0" borderId="0" xfId="0" applyAlignment="1">
      <alignment horizontal="left" vertical="center" wrapText="1"/>
    </xf>
    <xf numFmtId="0" fontId="26" fillId="2" borderId="0" xfId="0" applyFont="1" applyFill="1" applyAlignment="1">
      <alignment horizontal="right" wrapText="1"/>
    </xf>
    <xf numFmtId="164" fontId="37" fillId="29" borderId="0" xfId="0" applyNumberFormat="1" applyFont="1" applyFill="1" applyAlignment="1">
      <alignment horizontal="center" vertical="center" wrapText="1"/>
    </xf>
    <xf numFmtId="164" fontId="37" fillId="30" borderId="0" xfId="0" applyNumberFormat="1" applyFont="1" applyFill="1" applyAlignment="1">
      <alignment horizontal="center" vertical="center" wrapText="1"/>
    </xf>
    <xf numFmtId="164" fontId="38" fillId="31" borderId="0" xfId="0" applyNumberFormat="1" applyFont="1" applyFill="1" applyAlignment="1">
      <alignment horizontal="center" vertical="center" wrapText="1"/>
    </xf>
    <xf numFmtId="164" fontId="39" fillId="32" borderId="0" xfId="0" applyNumberFormat="1" applyFont="1" applyFill="1" applyAlignment="1">
      <alignment horizontal="center" vertical="center" wrapText="1"/>
    </xf>
    <xf numFmtId="0" fontId="40" fillId="26" borderId="0" xfId="0" applyFont="1" applyFill="1" applyAlignment="1">
      <alignment horizontal="center" vertical="center" wrapText="1"/>
    </xf>
    <xf numFmtId="164" fontId="38" fillId="32" borderId="0" xfId="0" applyNumberFormat="1" applyFont="1" applyFill="1" applyAlignment="1">
      <alignment horizontal="center" vertical="center" wrapText="1"/>
    </xf>
    <xf numFmtId="0" fontId="40" fillId="27" borderId="0" xfId="0" applyFont="1" applyFill="1" applyAlignment="1">
      <alignment horizontal="center" vertical="center" wrapText="1"/>
    </xf>
    <xf numFmtId="164" fontId="37" fillId="33" borderId="0" xfId="0" applyNumberFormat="1" applyFont="1" applyFill="1" applyAlignment="1">
      <alignment horizontal="center" vertical="center" wrapText="1"/>
    </xf>
    <xf numFmtId="0" fontId="40" fillId="28" borderId="0" xfId="0" applyFont="1" applyFill="1" applyAlignment="1">
      <alignment horizontal="center" vertical="center" wrapText="1"/>
    </xf>
    <xf numFmtId="164" fontId="37" fillId="34" borderId="0" xfId="0" applyNumberFormat="1" applyFont="1" applyFill="1" applyAlignment="1">
      <alignment horizontal="center" vertical="center" wrapText="1"/>
    </xf>
    <xf numFmtId="164" fontId="41" fillId="32" borderId="0" xfId="0" applyNumberFormat="1" applyFont="1" applyFill="1" applyAlignment="1">
      <alignment horizontal="center" vertical="center" wrapText="1"/>
    </xf>
    <xf numFmtId="0" fontId="37" fillId="32" borderId="0" xfId="0" applyFont="1" applyFill="1" applyAlignment="1">
      <alignment horizontal="center" vertical="center" wrapText="1"/>
    </xf>
    <xf numFmtId="0" fontId="38" fillId="32" borderId="0" xfId="0" applyFont="1" applyFill="1" applyAlignment="1">
      <alignment horizontal="left" vertical="center" wrapText="1"/>
    </xf>
    <xf numFmtId="164" fontId="41" fillId="31" borderId="0" xfId="0" applyNumberFormat="1" applyFont="1" applyFill="1" applyAlignment="1">
      <alignment horizontal="center" vertical="center" wrapText="1"/>
    </xf>
    <xf numFmtId="0" fontId="37" fillId="31" borderId="0" xfId="0" applyFont="1" applyFill="1" applyAlignment="1">
      <alignment horizontal="center" vertical="center" wrapText="1"/>
    </xf>
    <xf numFmtId="0" fontId="38" fillId="31" borderId="0" xfId="0" applyFont="1" applyFill="1" applyAlignment="1">
      <alignment horizontal="left" vertical="center" wrapText="1"/>
    </xf>
    <xf numFmtId="0" fontId="3" fillId="2" borderId="0" xfId="0" applyFont="1" applyFill="1" applyAlignment="1">
      <alignment horizontal="left" vertical="center" wrapText="1"/>
    </xf>
    <xf numFmtId="0" fontId="0" fillId="0" borderId="0" xfId="0"/>
    <xf numFmtId="0" fontId="9" fillId="5" borderId="0" xfId="0" applyFont="1" applyFill="1" applyAlignment="1">
      <alignment horizontal="left" vertical="center" wrapText="1"/>
    </xf>
    <xf numFmtId="0" fontId="10" fillId="6" borderId="0" xfId="0" applyFont="1" applyFill="1" applyAlignment="1">
      <alignment horizontal="left" vertical="center" wrapText="1"/>
    </xf>
    <xf numFmtId="0" fontId="14" fillId="8" borderId="0" xfId="0" applyFont="1" applyFill="1" applyAlignment="1">
      <alignment horizontal="left" vertical="center" wrapText="1"/>
    </xf>
    <xf numFmtId="0" fontId="14" fillId="7" borderId="0" xfId="0" applyFont="1" applyFill="1" applyAlignment="1">
      <alignment horizontal="left" vertical="center" wrapText="1"/>
    </xf>
    <xf numFmtId="0" fontId="11" fillId="7" borderId="0" xfId="0" applyFont="1" applyFill="1" applyAlignment="1">
      <alignment horizontal="left" vertical="center" wrapText="1"/>
    </xf>
    <xf numFmtId="0" fontId="5" fillId="4" borderId="0" xfId="0" applyFont="1" applyFill="1" applyAlignment="1">
      <alignment horizontal="left" vertical="center" wrapText="1"/>
    </xf>
    <xf numFmtId="0" fontId="2" fillId="2" borderId="0" xfId="0" applyFont="1" applyFill="1" applyAlignment="1">
      <alignment horizontal="center" vertical="center" wrapText="1"/>
    </xf>
    <xf numFmtId="0" fontId="1" fillId="2" borderId="0" xfId="0" applyFont="1" applyFill="1" applyAlignment="1">
      <alignment horizontal="left" vertical="center" wrapText="1"/>
    </xf>
    <xf numFmtId="0" fontId="16" fillId="8" borderId="0" xfId="0" applyFont="1" applyFill="1" applyAlignment="1">
      <alignment horizontal="left" vertical="center" wrapText="1"/>
    </xf>
    <xf numFmtId="0" fontId="8" fillId="3" borderId="0" xfId="0" applyFont="1" applyFill="1" applyAlignment="1">
      <alignment horizontal="left" vertical="center" wrapText="1"/>
    </xf>
    <xf numFmtId="0" fontId="19" fillId="3" borderId="0" xfId="0" applyFont="1" applyFill="1" applyAlignment="1">
      <alignment horizontal="left" vertical="center" wrapText="1"/>
    </xf>
    <xf numFmtId="0" fontId="18" fillId="2" borderId="0" xfId="0" applyFont="1" applyFill="1" applyAlignment="1">
      <alignment horizontal="left" vertical="center" wrapText="1"/>
    </xf>
    <xf numFmtId="0" fontId="30" fillId="19" borderId="0" xfId="0" applyFont="1" applyFill="1" applyAlignment="1">
      <alignment horizontal="left" vertical="center" wrapText="1"/>
    </xf>
    <xf numFmtId="0" fontId="29" fillId="18" borderId="0" xfId="0" applyFont="1" applyFill="1" applyAlignment="1">
      <alignment horizontal="left" vertical="center" wrapText="1"/>
    </xf>
    <xf numFmtId="0" fontId="9" fillId="3" borderId="0" xfId="0" applyFont="1" applyFill="1" applyAlignment="1">
      <alignment horizontal="left" vertical="center" wrapText="1"/>
    </xf>
  </cellXfs>
  <cellStyles count="1">
    <cellStyle name="Normal" xfId="0" builtinId="0"/>
  </cellStyles>
  <dxfs count="10">
    <dxf>
      <font>
        <b/>
        <sz val="9"/>
        <color rgb="FFFFFFFF"/>
        <name val="Arial"/>
      </font>
      <fill>
        <patternFill patternType="solid">
          <fgColor rgb="FFC0392B"/>
          <bgColor rgb="FFC0392B"/>
        </patternFill>
      </fill>
    </dxf>
    <dxf>
      <font>
        <b/>
        <sz val="9"/>
        <color rgb="FFFFFFFF"/>
        <name val="Arial"/>
      </font>
      <fill>
        <patternFill patternType="solid">
          <fgColor rgb="FFE74C3C"/>
          <bgColor rgb="FFE74C3C"/>
        </patternFill>
      </fill>
    </dxf>
    <dxf>
      <font>
        <b/>
        <sz val="9"/>
        <color rgb="FFFFFFFF"/>
        <name val="Arial"/>
      </font>
      <fill>
        <patternFill patternType="solid">
          <fgColor rgb="FFE67E22"/>
          <bgColor rgb="FFE67E22"/>
        </patternFill>
      </fill>
    </dxf>
    <dxf>
      <font>
        <b/>
        <sz val="9"/>
        <color rgb="FFFFFFFF"/>
        <name val="Arial"/>
      </font>
      <fill>
        <patternFill patternType="solid">
          <fgColor rgb="FFF1C40F"/>
          <bgColor rgb="FFF1C40F"/>
        </patternFill>
      </fill>
    </dxf>
    <dxf>
      <font>
        <b/>
        <sz val="9"/>
        <color rgb="FFFFFFFF"/>
        <name val="Arial"/>
      </font>
      <fill>
        <patternFill patternType="solid">
          <fgColor rgb="FF27AE60"/>
          <bgColor rgb="FF27AE60"/>
        </patternFill>
      </fill>
    </dxf>
    <dxf>
      <font>
        <b/>
        <sz val="9"/>
        <color rgb="FFFFFFFF"/>
        <name val="Arial"/>
      </font>
      <fill>
        <patternFill patternType="solid">
          <fgColor rgb="FFC0392B"/>
          <bgColor rgb="FFC0392B"/>
        </patternFill>
      </fill>
    </dxf>
    <dxf>
      <font>
        <b/>
        <sz val="9"/>
        <color rgb="FFFFFFFF"/>
        <name val="Arial"/>
      </font>
      <fill>
        <patternFill patternType="solid">
          <fgColor rgb="FFE74C3C"/>
          <bgColor rgb="FFE74C3C"/>
        </patternFill>
      </fill>
    </dxf>
    <dxf>
      <font>
        <b/>
        <sz val="9"/>
        <color rgb="FFFFFFFF"/>
        <name val="Arial"/>
      </font>
      <fill>
        <patternFill patternType="solid">
          <fgColor rgb="FFE67E22"/>
          <bgColor rgb="FFE67E22"/>
        </patternFill>
      </fill>
    </dxf>
    <dxf>
      <font>
        <b/>
        <sz val="9"/>
        <color rgb="FFFFFFFF"/>
        <name val="Arial"/>
      </font>
      <fill>
        <patternFill patternType="solid">
          <fgColor rgb="FFF1C40F"/>
          <bgColor rgb="FFF1C40F"/>
        </patternFill>
      </fill>
    </dxf>
    <dxf>
      <font>
        <b/>
        <sz val="9"/>
        <color rgb="FFFFFFFF"/>
        <name val="Arial"/>
      </font>
      <fill>
        <patternFill patternType="solid">
          <fgColor rgb="FF27AE60"/>
          <bgColor rgb="FF27AE6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A085"/>
      <rgbColor rgb="FFC0C0C0"/>
      <rgbColor rgb="FF888888"/>
      <rgbColor rgb="FF9999FF"/>
      <rgbColor rgb="FF9B59B6"/>
      <rgbColor rgb="FFF8F9FA"/>
      <rgbColor rgb="FFEAFAF1"/>
      <rgbColor rgb="FF660066"/>
      <rgbColor rgb="FFE74C3C"/>
      <rgbColor rgb="FF0066CC"/>
      <rgbColor rgb="FFD5D8DC"/>
      <rgbColor rgb="FF000080"/>
      <rgbColor rgb="FFFF00FF"/>
      <rgbColor rgb="FFFFFF00"/>
      <rgbColor rgb="FF00FFFF"/>
      <rgbColor rgb="FF800080"/>
      <rgbColor rgb="FF800000"/>
      <rgbColor rgb="FF2980B9"/>
      <rgbColor rgb="FF0000FF"/>
      <rgbColor rgb="FF1ABC9C"/>
      <rgbColor rgb="FFF2F4F7"/>
      <rgbColor rgb="FFCCFFCC"/>
      <rgbColor rgb="FFFFFF99"/>
      <rgbColor rgb="FF99CCFF"/>
      <rgbColor rgb="FFFF99CC"/>
      <rgbColor rgb="FFCC99FF"/>
      <rgbColor rgb="FFFFCC99"/>
      <rgbColor rgb="FF3366FF"/>
      <rgbColor rgb="FF48C9B0"/>
      <rgbColor rgb="FF99CC00"/>
      <rgbColor rgb="FFF1C40F"/>
      <rgbColor rgb="FFF39C12"/>
      <rgbColor rgb="FFE67E22"/>
      <rgbColor rgb="FF555555"/>
      <rgbColor rgb="FF7F8C8D"/>
      <rgbColor rgb="FF1A3558"/>
      <rgbColor rgb="FF27AE60"/>
      <rgbColor rgb="FF003300"/>
      <rgbColor rgb="FF1B2A4A"/>
      <rgbColor rgb="FFC0392B"/>
      <rgbColor rgb="FF993366"/>
      <rgbColor rgb="FF2E4A6B"/>
      <rgbColor rgb="FF1C28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1B2A4A"/>
  </sheetPr>
  <dimension ref="A1:L42"/>
  <sheetViews>
    <sheetView showGridLines="0" tabSelected="1" topLeftCell="A29" zoomScale="85" zoomScaleNormal="85" workbookViewId="0">
      <selection activeCell="B42" sqref="B42:K42"/>
    </sheetView>
  </sheetViews>
  <sheetFormatPr defaultColWidth="8.6640625" defaultRowHeight="14.4" x14ac:dyDescent="0.3"/>
  <cols>
    <col min="1" max="1" width="3" customWidth="1"/>
    <col min="2" max="3" width="22" customWidth="1"/>
    <col min="4" max="10" width="14" customWidth="1"/>
    <col min="11" max="11" width="23" customWidth="1"/>
    <col min="12" max="12" width="3" customWidth="1"/>
  </cols>
  <sheetData>
    <row r="1" spans="1:12" ht="7.5" customHeight="1" x14ac:dyDescent="0.3">
      <c r="A1" s="4"/>
      <c r="B1" s="4"/>
      <c r="C1" s="4"/>
      <c r="D1" s="4"/>
      <c r="E1" s="4"/>
      <c r="F1" s="4"/>
      <c r="G1" s="4"/>
      <c r="H1" s="4"/>
      <c r="I1" s="4"/>
      <c r="J1" s="4"/>
      <c r="K1" s="4"/>
      <c r="L1" s="4"/>
    </row>
    <row r="2" spans="1:12" ht="31.5" customHeight="1" x14ac:dyDescent="0.3">
      <c r="A2" s="4"/>
      <c r="B2" s="126" t="s">
        <v>0</v>
      </c>
      <c r="C2" s="118"/>
      <c r="D2" s="118"/>
      <c r="E2" s="118"/>
      <c r="F2" s="118"/>
      <c r="G2" s="118"/>
      <c r="H2" s="118"/>
      <c r="I2" s="118"/>
      <c r="J2" s="118"/>
      <c r="K2" s="5" t="s">
        <v>1</v>
      </c>
      <c r="L2" s="4"/>
    </row>
    <row r="3" spans="1:12" ht="21.75" customHeight="1" x14ac:dyDescent="0.3">
      <c r="A3" s="4"/>
      <c r="B3" s="117" t="s">
        <v>2</v>
      </c>
      <c r="C3" s="118"/>
      <c r="D3" s="118"/>
      <c r="E3" s="118"/>
      <c r="F3" s="118"/>
      <c r="G3" s="118"/>
      <c r="H3" s="118"/>
      <c r="I3" s="118"/>
      <c r="J3" s="118"/>
      <c r="K3" s="100" t="s">
        <v>866</v>
      </c>
      <c r="L3" s="4"/>
    </row>
    <row r="4" spans="1:12" ht="7.5" customHeight="1" x14ac:dyDescent="0.3">
      <c r="A4" s="4"/>
      <c r="B4" s="4"/>
      <c r="C4" s="4"/>
      <c r="D4" s="4"/>
      <c r="E4" s="4"/>
      <c r="F4" s="4"/>
      <c r="G4" s="4"/>
      <c r="H4" s="4"/>
      <c r="I4" s="4"/>
      <c r="J4" s="4"/>
      <c r="K4" s="4"/>
      <c r="L4" s="4"/>
    </row>
    <row r="5" spans="1:12" ht="31.5" customHeight="1" x14ac:dyDescent="0.3">
      <c r="A5" s="6"/>
      <c r="B5" s="7" t="s">
        <v>3</v>
      </c>
      <c r="C5" s="124" t="s">
        <v>38</v>
      </c>
      <c r="D5" s="118"/>
      <c r="E5" s="118"/>
      <c r="F5" s="118"/>
      <c r="G5" s="118"/>
      <c r="H5" s="6"/>
      <c r="I5" s="8" t="s">
        <v>5</v>
      </c>
      <c r="J5" s="9">
        <f>IFERROR(VLOOKUP($C$5,RING_ENGINE!$A$4:$K$21,9,FALSE()),"—")</f>
        <v>61.974999999999994</v>
      </c>
      <c r="K5" s="6"/>
      <c r="L5" s="6"/>
    </row>
    <row r="6" spans="1:12" ht="21.75" customHeight="1" x14ac:dyDescent="0.3">
      <c r="A6" s="6"/>
      <c r="B6" s="128" t="s">
        <v>864</v>
      </c>
      <c r="C6" s="118"/>
      <c r="D6" s="118"/>
      <c r="E6" s="118"/>
      <c r="F6" s="118"/>
      <c r="G6" s="118"/>
      <c r="H6" s="6"/>
      <c r="I6" s="8" t="s">
        <v>6</v>
      </c>
      <c r="J6" s="10" t="str">
        <f>IFERROR(VLOOKUP($C$5,RING_ENGINE!$A$4:$K$21,10,FALSE()),"—")</f>
        <v>HIGH</v>
      </c>
      <c r="K6" s="6"/>
      <c r="L6" s="6"/>
    </row>
    <row r="7" spans="1:12" ht="12" customHeight="1" x14ac:dyDescent="0.3"/>
    <row r="8" spans="1:12" ht="21.75" customHeight="1" x14ac:dyDescent="0.3">
      <c r="A8" s="11"/>
      <c r="B8" s="119" t="s">
        <v>7</v>
      </c>
      <c r="C8" s="118"/>
      <c r="D8" s="118"/>
      <c r="E8" s="118"/>
      <c r="F8" s="118"/>
      <c r="G8" s="118"/>
      <c r="H8" s="118"/>
      <c r="I8" s="118"/>
      <c r="J8" s="118"/>
      <c r="K8" s="118"/>
      <c r="L8" s="11"/>
    </row>
    <row r="9" spans="1:12" ht="43.5" customHeight="1" x14ac:dyDescent="0.3">
      <c r="B9" s="2" t="s">
        <v>8</v>
      </c>
      <c r="C9" s="123" t="str">
        <f>IFERROR(VLOOKUP($C$5,RING_ENGINE!$A$4:$K$21,2,FALSE()),"—")</f>
        <v>Yemen, Djibouti, Eritrea</v>
      </c>
      <c r="D9" s="118"/>
      <c r="E9" s="118"/>
      <c r="F9" s="2" t="s">
        <v>9</v>
      </c>
      <c r="G9" s="123" t="str">
        <f>IFERROR(VLOOKUP($C$5,RING_ENGINE!$A$4:$K$21,3,FALSE()),"—")</f>
        <v>Saudi Arabia, Somalia, Ethiopia</v>
      </c>
      <c r="H9" s="118"/>
      <c r="I9" s="2" t="s">
        <v>10</v>
      </c>
      <c r="J9" s="123" t="str">
        <f>IFERROR(VLOOKUP($C$5,RING_ENGINE!$A$4:$K$21,4,FALSE()),"—")</f>
        <v>United States, Iran, China, France, Saudi Arabia</v>
      </c>
      <c r="K9" s="118"/>
    </row>
    <row r="10" spans="1:12" ht="7.5" customHeight="1" x14ac:dyDescent="0.3"/>
    <row r="11" spans="1:12" ht="21.75" customHeight="1" x14ac:dyDescent="0.3">
      <c r="A11" s="11"/>
      <c r="B11" s="119" t="s">
        <v>11</v>
      </c>
      <c r="C11" s="118"/>
      <c r="D11" s="118"/>
      <c r="E11" s="118"/>
      <c r="F11" s="118"/>
      <c r="G11" s="118"/>
      <c r="H11" s="118"/>
      <c r="I11" s="118"/>
      <c r="J11" s="118"/>
      <c r="K11" s="118"/>
      <c r="L11" s="11"/>
    </row>
    <row r="12" spans="1:12" ht="21.75" customHeight="1" x14ac:dyDescent="0.3">
      <c r="B12" s="2" t="s">
        <v>12</v>
      </c>
      <c r="C12" s="2" t="s">
        <v>13</v>
      </c>
      <c r="D12" s="12" t="s">
        <v>14</v>
      </c>
      <c r="E12" s="12" t="s">
        <v>15</v>
      </c>
      <c r="F12" s="12" t="s">
        <v>16</v>
      </c>
      <c r="G12" s="120" t="s">
        <v>17</v>
      </c>
      <c r="H12" s="118"/>
      <c r="I12" s="118"/>
      <c r="J12" s="118"/>
      <c r="K12" s="118"/>
    </row>
    <row r="13" spans="1:12" ht="25.5" customHeight="1" x14ac:dyDescent="0.3">
      <c r="B13" s="13" t="s">
        <v>18</v>
      </c>
      <c r="C13" s="14" t="str">
        <f>IFERROR(VLOOKUP($C$5,RING_ENGINE!$A$4:$K$21,2,FALSE()),"—")</f>
        <v>Yemen, Djibouti, Eritrea</v>
      </c>
      <c r="D13" s="68">
        <f>IFERROR(VLOOKUP($C$5,RING_ENGINE!$A$4:$K$21,5,FALSE),"—")</f>
        <v>69.8</v>
      </c>
      <c r="E13" s="15">
        <f>'00_CONFIG'!C5</f>
        <v>0.5</v>
      </c>
      <c r="F13" s="16">
        <f>D13*E13</f>
        <v>34.9</v>
      </c>
      <c r="G13" s="121" t="s">
        <v>19</v>
      </c>
      <c r="H13" s="118"/>
      <c r="I13" s="118"/>
      <c r="J13" s="118"/>
      <c r="K13" s="118"/>
    </row>
    <row r="14" spans="1:12" ht="25.5" customHeight="1" x14ac:dyDescent="0.3">
      <c r="B14" s="17" t="s">
        <v>20</v>
      </c>
      <c r="C14" s="3" t="str">
        <f>IFERROR(VLOOKUP($C$5,RING_ENGINE!$A$4:$K$21,3,FALSE()),"—")</f>
        <v>Saudi Arabia, Somalia, Ethiopia</v>
      </c>
      <c r="D14" s="69">
        <f>IFERROR(VLOOKUP($C$5,RING_ENGINE!$A$4:$K$21,6,FALSE),"—")</f>
        <v>67.900000000000006</v>
      </c>
      <c r="E14" s="18">
        <f>'00_CONFIG'!C6</f>
        <v>0.25</v>
      </c>
      <c r="F14" s="19">
        <f>D14*E14</f>
        <v>16.975000000000001</v>
      </c>
      <c r="G14" s="122" t="s">
        <v>21</v>
      </c>
      <c r="H14" s="118"/>
      <c r="I14" s="118"/>
      <c r="J14" s="118"/>
      <c r="K14" s="118"/>
    </row>
    <row r="15" spans="1:12" ht="25.5" customHeight="1" x14ac:dyDescent="0.3">
      <c r="B15" s="13" t="s">
        <v>22</v>
      </c>
      <c r="C15" s="14" t="str">
        <f>IFERROR(VLOOKUP($C$5,RING_ENGINE!$A$4:$K$21,4,FALSE()),"—")</f>
        <v>United States, Iran, China, France, Saudi Arabia</v>
      </c>
      <c r="D15" s="68">
        <f>IFERROR(VLOOKUP($C$5,RING_ENGINE!$A$4:$K$21,7,FALSE),"—")</f>
        <v>42</v>
      </c>
      <c r="E15" s="15">
        <f>'00_CONFIG'!C7</f>
        <v>0.15</v>
      </c>
      <c r="F15" s="16">
        <f>D15*E15</f>
        <v>6.3</v>
      </c>
      <c r="G15" s="121" t="s">
        <v>23</v>
      </c>
      <c r="H15" s="118"/>
      <c r="I15" s="118"/>
      <c r="J15" s="118"/>
      <c r="K15" s="118"/>
    </row>
    <row r="16" spans="1:12" ht="25.5" customHeight="1" x14ac:dyDescent="0.3">
      <c r="B16" s="17" t="s">
        <v>24</v>
      </c>
      <c r="C16" s="20" t="s">
        <v>25</v>
      </c>
      <c r="D16" s="69">
        <f>IFERROR(VLOOKUP($C$5,RING_ENGINE!$A$4:$K$21,8,FALSE),"—")</f>
        <v>38</v>
      </c>
      <c r="E16" s="18">
        <f>'00_CONFIG'!C8</f>
        <v>0.1</v>
      </c>
      <c r="F16" s="19">
        <f>D16*E16</f>
        <v>3.8000000000000003</v>
      </c>
      <c r="G16" s="122" t="s">
        <v>26</v>
      </c>
      <c r="H16" s="118"/>
      <c r="I16" s="118"/>
      <c r="J16" s="118"/>
      <c r="K16" s="118"/>
    </row>
    <row r="17" spans="1:12" ht="7.5" customHeight="1" x14ac:dyDescent="0.3"/>
    <row r="18" spans="1:12" ht="21.75" customHeight="1" x14ac:dyDescent="0.3">
      <c r="A18" s="11"/>
      <c r="B18" s="119" t="s">
        <v>27</v>
      </c>
      <c r="C18" s="118"/>
      <c r="D18" s="118"/>
      <c r="E18" s="118"/>
      <c r="F18" s="118"/>
      <c r="G18" s="118"/>
      <c r="H18" s="118"/>
      <c r="I18" s="118"/>
      <c r="J18" s="118"/>
      <c r="K18" s="118"/>
      <c r="L18" s="11"/>
    </row>
    <row r="19" spans="1:12" ht="39.75" customHeight="1" x14ac:dyDescent="0.3">
      <c r="B19" s="127" t="str">
        <f>IFERROR(IF(VLOOKUP($C$5,RING_ENGINE!$A$4:$K$21,10,FALSE())="LOW","Standard monitoring. Annual review.",IF(VLOOKUP($C$5,RING_ENGINE!$A$4:$K$21,10,FALSE())="MODERATE","Enhanced monitoring. Quarterly review. Identify bypass options.",IF(VLOOKUP($C$5,RING_ENGINE!$A$4:$K$21,10,FALSE())="ELEVATED","Flag for review. Map bypass routes. Monthly checks.",IF(VLOOKUP($C$5,RING_ENGINE!$A$4:$K$21,10,FALSE())="HIGH","Escalate to leadership. Activate contingency routing. Weekly review.","Immediate escalation. Do not rely on this route. Board approval required.")))),"—")</f>
        <v>Escalate to leadership. Activate contingency routing. Weekly review.</v>
      </c>
      <c r="C19" s="118"/>
      <c r="D19" s="118"/>
      <c r="E19" s="118"/>
      <c r="F19" s="118"/>
      <c r="G19" s="118"/>
      <c r="H19" s="118"/>
      <c r="I19" s="118"/>
      <c r="J19" s="118"/>
      <c r="K19" s="118"/>
    </row>
    <row r="20" spans="1:12" ht="7.5" customHeight="1" x14ac:dyDescent="0.3"/>
    <row r="21" spans="1:12" ht="21.75" customHeight="1" x14ac:dyDescent="0.3">
      <c r="A21" s="11"/>
      <c r="B21" s="119" t="s">
        <v>28</v>
      </c>
      <c r="C21" s="118"/>
      <c r="D21" s="118"/>
      <c r="E21" s="118"/>
      <c r="F21" s="118"/>
      <c r="G21" s="118"/>
      <c r="H21" s="118"/>
      <c r="I21" s="118"/>
      <c r="J21" s="118"/>
      <c r="K21" s="118"/>
      <c r="L21" s="11"/>
    </row>
    <row r="22" spans="1:12" ht="21.75" customHeight="1" x14ac:dyDescent="0.3">
      <c r="B22" s="12" t="s">
        <v>29</v>
      </c>
      <c r="C22" s="12" t="s">
        <v>30</v>
      </c>
      <c r="D22" s="12" t="s">
        <v>31</v>
      </c>
      <c r="E22" s="12" t="s">
        <v>32</v>
      </c>
      <c r="F22" s="12" t="s">
        <v>33</v>
      </c>
      <c r="G22" s="12" t="s">
        <v>34</v>
      </c>
      <c r="H22" s="12" t="s">
        <v>35</v>
      </c>
      <c r="I22" s="12" t="s">
        <v>6</v>
      </c>
      <c r="J22" s="12" t="s">
        <v>36</v>
      </c>
      <c r="K22" s="12" t="s">
        <v>37</v>
      </c>
    </row>
    <row r="23" spans="1:12" ht="39" customHeight="1" x14ac:dyDescent="0.3">
      <c r="B23" s="21">
        <v>1</v>
      </c>
      <c r="C23" s="13" t="s">
        <v>38</v>
      </c>
      <c r="D23" s="106">
        <f>IFERROR(VLOOKUP($C23,RING_ENGINE!$A$4:$K$21,5,FALSE),"—")</f>
        <v>69.8</v>
      </c>
      <c r="E23" s="106">
        <f>IFERROR(VLOOKUP($C23,RING_ENGINE!$A$4:$K$21,6,FALSE),"—")</f>
        <v>67.900000000000006</v>
      </c>
      <c r="F23" s="106">
        <f>IFERROR(VLOOKUP($C23,RING_ENGINE!$A$4:$K$21,7,FALSE),"—")</f>
        <v>42</v>
      </c>
      <c r="G23" s="106">
        <f>IFERROR(VLOOKUP($C23,RING_ENGINE!$A$4:$K$21,8,FALSE),"—")</f>
        <v>38</v>
      </c>
      <c r="H23" s="111">
        <f>IFERROR(VLOOKUP($C23,RING_ENGINE!$A$4:$K$21,9,FALSE),"—")</f>
        <v>61.974999999999994</v>
      </c>
      <c r="I23" s="112" t="str">
        <f>IFERROR(VLOOKUP($C23,RING_ENGINE!$A$4:$K$21,10,FALSE),"—")</f>
        <v>HIGH</v>
      </c>
      <c r="J23" s="113" t="str">
        <f>IFERROR(VLOOKUP($C23,RING_ENGINE!$A$4:$K$21,11,FALSE),"—")</f>
        <v>Cape of Good Hope</v>
      </c>
      <c r="K23" s="113" t="str">
        <f>IFERROR(VLOOKUP($C23,CP_OVERVIEW!$B$4:$H$21,7,FALSE),"—")</f>
        <v>Active conflict zone. Houthi missile/drone threat since Oct 2023. Undersea cables, 25% of global data traffic between Asia and Europe.</v>
      </c>
    </row>
    <row r="24" spans="1:12" ht="34.799999999999997" customHeight="1" x14ac:dyDescent="0.3">
      <c r="B24" s="25">
        <v>2</v>
      </c>
      <c r="C24" s="17" t="s">
        <v>39</v>
      </c>
      <c r="D24" s="103">
        <f>IFERROR(VLOOKUP($C24,RING_ENGINE!$A$4:$K$21,5,FALSE),"—")</f>
        <v>66.599999999999994</v>
      </c>
      <c r="E24" s="103">
        <f>IFERROR(VLOOKUP($C24,RING_ENGINE!$A$4:$K$21,6,FALSE),"—")</f>
        <v>18.100000000000001</v>
      </c>
      <c r="F24" s="103">
        <f>IFERROR(VLOOKUP($C24,RING_ENGINE!$A$4:$K$21,7,FALSE),"—")</f>
        <v>28</v>
      </c>
      <c r="G24" s="103">
        <f>IFERROR(VLOOKUP($C24,RING_ENGINE!$A$4:$K$21,8,FALSE),"—")</f>
        <v>36</v>
      </c>
      <c r="H24" s="114">
        <f>IFERROR(VLOOKUP($C24,RING_ENGINE!$A$4:$K$21,9,FALSE),"—")</f>
        <v>45.625</v>
      </c>
      <c r="I24" s="115" t="str">
        <f>IFERROR(VLOOKUP($C24,RING_ENGINE!$A$4:$K$21,10,FALSE),"—")</f>
        <v>ELEVATED</v>
      </c>
      <c r="J24" s="116" t="str">
        <f>IFERROR(VLOOKUP($C24,RING_ENGINE!$A$4:$K$21,11,FALSE),"—")</f>
        <v>Traditional Suez / Panama lanes</v>
      </c>
      <c r="K24" s="116" t="str">
        <f>IFERROR(VLOOKUP($C24,CP_OVERVIEW!$B$4:$H$21,7,FALSE),"—")</f>
        <v>Ice-dependent. Russian icebreaker monopoly. China Arctic interest growing.</v>
      </c>
    </row>
    <row r="25" spans="1:12" ht="37.799999999999997" customHeight="1" x14ac:dyDescent="0.3">
      <c r="B25" s="21">
        <v>3</v>
      </c>
      <c r="C25" s="13" t="s">
        <v>40</v>
      </c>
      <c r="D25" s="106">
        <f>IFERROR(VLOOKUP($C25,RING_ENGINE!$A$4:$K$21,5,FALSE),"—")</f>
        <v>57.7</v>
      </c>
      <c r="E25" s="106">
        <f>IFERROR(VLOOKUP($C25,RING_ENGINE!$A$4:$K$21,6,FALSE),"—")</f>
        <v>45.6</v>
      </c>
      <c r="F25" s="106">
        <f>IFERROR(VLOOKUP($C25,RING_ENGINE!$A$4:$K$21,7,FALSE),"—")</f>
        <v>35.700000000000003</v>
      </c>
      <c r="G25" s="106">
        <f>IFERROR(VLOOKUP($C25,RING_ENGINE!$A$4:$K$21,8,FALSE),"—")</f>
        <v>59</v>
      </c>
      <c r="H25" s="111">
        <f>IFERROR(VLOOKUP($C25,RING_ENGINE!$A$4:$K$21,9,FALSE),"—")</f>
        <v>51.505000000000003</v>
      </c>
      <c r="I25" s="112" t="str">
        <f>IFERROR(VLOOKUP($C25,RING_ENGINE!$A$4:$K$21,10,FALSE),"—")</f>
        <v>ELEVATED</v>
      </c>
      <c r="J25" s="113" t="str">
        <f>IFERROR(VLOOKUP($C25,RING_ENGINE!$A$4:$K$21,11,FALSE),"—")</f>
        <v>None (no bypass exists)</v>
      </c>
      <c r="K25" s="113" t="str">
        <f>IFERROR(VLOOKUP($C25,CP_OVERVIEW!$B$4:$H$21,7,FALSE),"—")</f>
        <v>Russian Black Sea Fleet access via Turkey under 1936 Montreux Convention.</v>
      </c>
    </row>
    <row r="26" spans="1:12" ht="41.4" customHeight="1" x14ac:dyDescent="0.3">
      <c r="B26" s="25">
        <v>4</v>
      </c>
      <c r="C26" s="17" t="s">
        <v>41</v>
      </c>
      <c r="D26" s="103">
        <f>IFERROR(VLOOKUP($C26,RING_ENGINE!$A$4:$K$21,5,FALSE),"—")</f>
        <v>48.2</v>
      </c>
      <c r="E26" s="103">
        <f>IFERROR(VLOOKUP($C26,RING_ENGINE!$A$4:$K$21,6,FALSE),"—")</f>
        <v>56.8</v>
      </c>
      <c r="F26" s="103">
        <f>IFERROR(VLOOKUP($C26,RING_ENGINE!$A$4:$K$21,7,FALSE),"—")</f>
        <v>38.9</v>
      </c>
      <c r="G26" s="103">
        <f>IFERROR(VLOOKUP($C26,RING_ENGINE!$A$4:$K$21,8,FALSE),"—")</f>
        <v>18</v>
      </c>
      <c r="H26" s="114">
        <f>IFERROR(VLOOKUP($C26,RING_ENGINE!$A$4:$K$21,9,FALSE),"—")</f>
        <v>45.934999999999995</v>
      </c>
      <c r="I26" s="115" t="str">
        <f>IFERROR(VLOOKUP($C26,RING_ENGINE!$A$4:$K$21,10,FALSE),"—")</f>
        <v>ELEVATED</v>
      </c>
      <c r="J26" s="116" t="str">
        <f>IFERROR(VLOOKUP($C26,RING_ENGINE!$A$4:$K$21,11,FALSE),"—")</f>
        <v>Primary bypass route</v>
      </c>
      <c r="K26" s="116" t="str">
        <f>IFERROR(VLOOKUP($C26,CP_OVERVIEW!$B$4:$H$21,7,FALSE),"—")</f>
        <v>Not a chokepoint per se — the bypass route. Risk = SA stability.</v>
      </c>
    </row>
    <row r="27" spans="1:12" ht="39" customHeight="1" x14ac:dyDescent="0.3">
      <c r="B27" s="21">
        <v>5</v>
      </c>
      <c r="C27" s="13" t="s">
        <v>42</v>
      </c>
      <c r="D27" s="106">
        <f>IFERROR(VLOOKUP($C27,RING_ENGINE!$A$4:$K$21,5,FALSE),"—")</f>
        <v>52.7</v>
      </c>
      <c r="E27" s="106">
        <f>IFERROR(VLOOKUP($C27,RING_ENGINE!$A$4:$K$21,6,FALSE),"—")</f>
        <v>52.8</v>
      </c>
      <c r="F27" s="106">
        <f>IFERROR(VLOOKUP($C27,RING_ENGINE!$A$4:$K$21,7,FALSE),"—")</f>
        <v>41.8</v>
      </c>
      <c r="G27" s="106">
        <f>IFERROR(VLOOKUP($C27,RING_ENGINE!$A$4:$K$21,8,FALSE),"—")</f>
        <v>60</v>
      </c>
      <c r="H27" s="111">
        <f>IFERROR(VLOOKUP($C27,RING_ENGINE!$A$4:$K$21,9,FALSE),"—")</f>
        <v>51.819999999999993</v>
      </c>
      <c r="I27" s="112" t="str">
        <f>IFERROR(VLOOKUP($C27,RING_ENGINE!$A$4:$K$21,10,FALSE),"—")</f>
        <v>ELEVATED</v>
      </c>
      <c r="J27" s="113" t="str">
        <f>IFERROR(VLOOKUP($C27,RING_ENGINE!$A$4:$K$21,11,FALSE),"—")</f>
        <v>Cape of Good Hope</v>
      </c>
      <c r="K27" s="113" t="str">
        <f>IFERROR(VLOOKUP($C27,CP_OVERVIEW!$B$4:$H$21,7,FALSE),"—")</f>
        <v>~100 ships/day. Houthi threat diverting traffic to Cape.</v>
      </c>
    </row>
    <row r="28" spans="1:12" ht="54.6" customHeight="1" x14ac:dyDescent="0.3">
      <c r="B28" s="25">
        <v>6</v>
      </c>
      <c r="C28" s="17" t="s">
        <v>4</v>
      </c>
      <c r="D28" s="103">
        <f>IFERROR(VLOOKUP($C28,RING_ENGINE!$A$4:$K$21,5,FALSE),"—")</f>
        <v>52</v>
      </c>
      <c r="E28" s="103">
        <f>IFERROR(VLOOKUP($C28,RING_ENGINE!$A$4:$K$21,6,FALSE),"—")</f>
        <v>37.200000000000003</v>
      </c>
      <c r="F28" s="103">
        <f>IFERROR(VLOOKUP($C28,RING_ENGINE!$A$4:$K$21,7,FALSE),"—")</f>
        <v>41.1</v>
      </c>
      <c r="G28" s="103">
        <f>IFERROR(VLOOKUP($C28,RING_ENGINE!$A$4:$K$21,8,FALSE),"—")</f>
        <v>38</v>
      </c>
      <c r="H28" s="114">
        <f>IFERROR(VLOOKUP($C28,RING_ENGINE!$A$4:$K$21,9,FALSE),"—")</f>
        <v>45.264999999999993</v>
      </c>
      <c r="I28" s="115" t="str">
        <f>IFERROR(VLOOKUP($C28,RING_ENGINE!$A$4:$K$21,10,FALSE),"—")</f>
        <v>ELEVATED</v>
      </c>
      <c r="J28" s="116" t="str">
        <f>IFERROR(VLOOKUP($C28,RING_ENGINE!$A$4:$K$21,11,FALSE),"—")</f>
        <v>None (no bypass exists)</v>
      </c>
      <c r="K28" s="116" t="str">
        <f>IFERROR(VLOOKUP($C28,CP_OVERVIEW!$B$4:$H$21,7,FALSE),"—")</f>
        <v>~21 Mbbl/day oil transit. Iranian closure = immediate global oil shock.</v>
      </c>
    </row>
    <row r="29" spans="1:12" ht="39.6" customHeight="1" x14ac:dyDescent="0.3">
      <c r="B29" s="21">
        <v>7</v>
      </c>
      <c r="C29" s="13" t="s">
        <v>43</v>
      </c>
      <c r="D29" s="106">
        <f>IFERROR(VLOOKUP($C29,RING_ENGINE!$A$4:$K$21,5,FALSE),"—")</f>
        <v>52.4</v>
      </c>
      <c r="E29" s="106">
        <f>IFERROR(VLOOKUP($C29,RING_ENGINE!$A$4:$K$21,6,FALSE),"—")</f>
        <v>35.299999999999997</v>
      </c>
      <c r="F29" s="106">
        <f>IFERROR(VLOOKUP($C29,RING_ENGINE!$A$4:$K$21,7,FALSE),"—")</f>
        <v>38.5</v>
      </c>
      <c r="G29" s="106">
        <f>IFERROR(VLOOKUP($C29,RING_ENGINE!$A$4:$K$21,8,FALSE),"—")</f>
        <v>25</v>
      </c>
      <c r="H29" s="111">
        <f>IFERROR(VLOOKUP($C29,RING_ENGINE!$A$4:$K$21,9,FALSE),"—")</f>
        <v>43.3</v>
      </c>
      <c r="I29" s="112" t="str">
        <f>IFERROR(VLOOKUP($C29,RING_ENGINE!$A$4:$K$21,10,FALSE),"—")</f>
        <v>ELEVATED</v>
      </c>
      <c r="J29" s="113" t="str">
        <f>IFERROR(VLOOKUP($C29,RING_ENGINE!$A$4:$K$21,11,FALSE),"—")</f>
        <v>Yucatan Channel</v>
      </c>
      <c r="K29" s="113" t="str">
        <f>IFERROR(VLOOKUP($C29,CP_OVERVIEW!$B$4:$H$21,7,FALSE),"—")</f>
        <v>Haiti instability affects maritime security monitoring.</v>
      </c>
    </row>
    <row r="30" spans="1:12" ht="33.6" customHeight="1" x14ac:dyDescent="0.3">
      <c r="B30" s="25">
        <v>8</v>
      </c>
      <c r="C30" s="17" t="s">
        <v>44</v>
      </c>
      <c r="D30" s="103">
        <f>IFERROR(VLOOKUP($C30,RING_ENGINE!$A$4:$K$21,5,FALSE),"—")</f>
        <v>32.1</v>
      </c>
      <c r="E30" s="103">
        <f>IFERROR(VLOOKUP($C30,RING_ENGINE!$A$4:$K$21,6,FALSE),"—")</f>
        <v>45.9</v>
      </c>
      <c r="F30" s="103">
        <f>IFERROR(VLOOKUP($C30,RING_ENGINE!$A$4:$K$21,7,FALSE),"—")</f>
        <v>38.5</v>
      </c>
      <c r="G30" s="103">
        <f>IFERROR(VLOOKUP($C30,RING_ENGINE!$A$4:$K$21,8,FALSE),"—")</f>
        <v>19</v>
      </c>
      <c r="H30" s="114">
        <f>IFERROR(VLOOKUP($C30,RING_ENGINE!$A$4:$K$21,9,FALSE),"—")</f>
        <v>35.199999999999996</v>
      </c>
      <c r="I30" s="115" t="str">
        <f>IFERROR(VLOOKUP($C30,RING_ENGINE!$A$4:$K$21,10,FALSE),"—")</f>
        <v>MODERATE</v>
      </c>
      <c r="J30" s="116" t="str">
        <f>IFERROR(VLOOKUP($C30,RING_ENGINE!$A$4:$K$21,11,FALSE),"—")</f>
        <v>Gulf of Mexico interior</v>
      </c>
      <c r="K30" s="116" t="str">
        <f>IFERROR(VLOOKUP($C30,CP_OVERVIEW!$B$4:$H$21,7,FALSE),"—")</f>
        <v>Key Gulf of Mexico energy transit. Cuba–China cooperation concern.</v>
      </c>
    </row>
    <row r="31" spans="1:12" ht="24" customHeight="1" x14ac:dyDescent="0.3">
      <c r="B31" s="21">
        <v>9</v>
      </c>
      <c r="C31" s="13" t="s">
        <v>45</v>
      </c>
      <c r="D31" s="106">
        <f>IFERROR(VLOOKUP($C31,RING_ENGINE!$A$4:$K$21,5,FALSE),"—")</f>
        <v>35.6</v>
      </c>
      <c r="E31" s="106">
        <f>IFERROR(VLOOKUP($C31,RING_ENGINE!$A$4:$K$21,6,FALSE),"—")</f>
        <v>38.1</v>
      </c>
      <c r="F31" s="106">
        <f>IFERROR(VLOOKUP($C31,RING_ENGINE!$A$4:$K$21,7,FALSE),"—")</f>
        <v>38.5</v>
      </c>
      <c r="G31" s="106">
        <f>IFERROR(VLOOKUP($C31,RING_ENGINE!$A$4:$K$21,8,FALSE),"—")</f>
        <v>52</v>
      </c>
      <c r="H31" s="111">
        <f>IFERROR(VLOOKUP($C31,RING_ENGINE!$A$4:$K$21,9,FALSE),"—")</f>
        <v>38.300000000000004</v>
      </c>
      <c r="I31" s="112" t="str">
        <f>IFERROR(VLOOKUP($C31,RING_ENGINE!$A$4:$K$21,10,FALSE),"—")</f>
        <v>MODERATE</v>
      </c>
      <c r="J31" s="113" t="str">
        <f>IFERROR(VLOOKUP($C31,RING_ENGINE!$A$4:$K$21,11,FALSE),"—")</f>
        <v>Cape Horn / Strait of Magellan</v>
      </c>
      <c r="K31" s="113" t="str">
        <f>IFERROR(VLOOKUP($C31,CP_OVERVIEW!$B$4:$H$21,7,FALSE),"—")</f>
        <v>2023-24 drought cut capacity 30%. China port influence growing.</v>
      </c>
    </row>
    <row r="32" spans="1:12" ht="39.6" customHeight="1" x14ac:dyDescent="0.3">
      <c r="B32" s="25">
        <v>10</v>
      </c>
      <c r="C32" s="17" t="s">
        <v>46</v>
      </c>
      <c r="D32" s="103">
        <f>IFERROR(VLOOKUP($C32,RING_ENGINE!$A$4:$K$21,5,FALSE),"—")</f>
        <v>31.9</v>
      </c>
      <c r="E32" s="103">
        <f>IFERROR(VLOOKUP($C32,RING_ENGINE!$A$4:$K$21,6,FALSE),"—")</f>
        <v>32.299999999999997</v>
      </c>
      <c r="F32" s="103">
        <f>IFERROR(VLOOKUP($C32,RING_ENGINE!$A$4:$K$21,7,FALSE),"—")</f>
        <v>32.6</v>
      </c>
      <c r="G32" s="103">
        <f>IFERROR(VLOOKUP($C32,RING_ENGINE!$A$4:$K$21,8,FALSE),"—")</f>
        <v>28</v>
      </c>
      <c r="H32" s="114">
        <f>IFERROR(VLOOKUP($C32,RING_ENGINE!$A$4:$K$21,9,FALSE),"—")</f>
        <v>31.715</v>
      </c>
      <c r="I32" s="115" t="str">
        <f>IFERROR(VLOOKUP($C32,RING_ENGINE!$A$4:$K$21,10,FALSE),"—")</f>
        <v>MODERATE</v>
      </c>
      <c r="J32" s="116" t="str">
        <f>IFERROR(VLOOKUP($C32,RING_ENGINE!$A$4:$K$21,11,FALSE),"—")</f>
        <v>Strait of Magellan</v>
      </c>
      <c r="K32" s="116" t="str">
        <f>IFERROR(VLOOKUP($C32,CP_OVERVIEW!$B$4:$H$21,7,FALSE),"—")</f>
        <v>Extreme weather. Last-resort route. Low control risk (open ocean).</v>
      </c>
    </row>
    <row r="33" spans="1:12" ht="24" customHeight="1" x14ac:dyDescent="0.3">
      <c r="B33" s="21">
        <v>11</v>
      </c>
      <c r="C33" s="13" t="s">
        <v>47</v>
      </c>
      <c r="D33" s="106">
        <f>IFERROR(VLOOKUP($C33,RING_ENGINE!$A$4:$K$21,5,FALSE),"—")</f>
        <v>31.3</v>
      </c>
      <c r="E33" s="106">
        <f>IFERROR(VLOOKUP($C33,RING_ENGINE!$A$4:$K$21,6,FALSE),"—")</f>
        <v>40.299999999999997</v>
      </c>
      <c r="F33" s="106">
        <f>IFERROR(VLOOKUP($C33,RING_ENGINE!$A$4:$K$21,7,FALSE),"—")</f>
        <v>31.5</v>
      </c>
      <c r="G33" s="106">
        <f>IFERROR(VLOOKUP($C33,RING_ENGINE!$A$4:$K$21,8,FALSE),"—")</f>
        <v>36</v>
      </c>
      <c r="H33" s="111">
        <f>IFERROR(VLOOKUP($C33,RING_ENGINE!$A$4:$K$21,9,FALSE),"—")</f>
        <v>34.050000000000004</v>
      </c>
      <c r="I33" s="112" t="str">
        <f>IFERROR(VLOOKUP($C33,RING_ENGINE!$A$4:$K$21,10,FALSE),"—")</f>
        <v>MODERATE</v>
      </c>
      <c r="J33" s="113" t="str">
        <f>IFERROR(VLOOKUP($C33,RING_ENGINE!$A$4:$K$21,11,FALSE),"—")</f>
        <v>Lombok / Sunda Strait</v>
      </c>
      <c r="K33" s="113" t="str">
        <f>IFERROR(VLOOKUP($C33,CP_OVERVIEW!$B$4:$H$21,7,FALSE),"—")</f>
        <v>Busiest chokepoint by vessel count. Piracy historically significant.</v>
      </c>
    </row>
    <row r="34" spans="1:12" ht="24" customHeight="1" x14ac:dyDescent="0.3">
      <c r="B34" s="25">
        <v>12</v>
      </c>
      <c r="C34" s="17" t="s">
        <v>48</v>
      </c>
      <c r="D34" s="103">
        <f>IFERROR(VLOOKUP($C34,RING_ENGINE!$A$4:$K$21,5,FALSE),"—")</f>
        <v>17.5</v>
      </c>
      <c r="E34" s="103">
        <f>IFERROR(VLOOKUP($C34,RING_ENGINE!$A$4:$K$21,6,FALSE),"—")</f>
        <v>59.5</v>
      </c>
      <c r="F34" s="103">
        <f>IFERROR(VLOOKUP($C34,RING_ENGINE!$A$4:$K$21,7,FALSE),"—")</f>
        <v>47.9</v>
      </c>
      <c r="G34" s="103">
        <f>IFERROR(VLOOKUP($C34,RING_ENGINE!$A$4:$K$21,8,FALSE),"—")</f>
        <v>27</v>
      </c>
      <c r="H34" s="114">
        <f>IFERROR(VLOOKUP($C34,RING_ENGINE!$A$4:$K$21,9,FALSE),"—")</f>
        <v>33.51</v>
      </c>
      <c r="I34" s="115" t="str">
        <f>IFERROR(VLOOKUP($C34,RING_ENGINE!$A$4:$K$21,10,FALSE),"—")</f>
        <v>MODERATE</v>
      </c>
      <c r="J34" s="116" t="str">
        <f>IFERROR(VLOOKUP($C34,RING_ENGINE!$A$4:$K$21,11,FALSE),"—")</f>
        <v>Sea of Japan / Pacific</v>
      </c>
      <c r="K34" s="116" t="str">
        <f>IFERROR(VLOOKUP($C34,CP_OVERVIEW!$B$4:$H$21,7,FALSE),"—")</f>
        <v>DPRK missile overflight risk. High US/JMSDF presence.</v>
      </c>
    </row>
    <row r="35" spans="1:12" ht="24" customHeight="1" x14ac:dyDescent="0.3">
      <c r="B35" s="21">
        <v>13</v>
      </c>
      <c r="C35" s="13" t="s">
        <v>49</v>
      </c>
      <c r="D35" s="106">
        <f>IFERROR(VLOOKUP($C35,RING_ENGINE!$A$4:$K$21,5,FALSE),"—")</f>
        <v>42.6</v>
      </c>
      <c r="E35" s="106">
        <f>IFERROR(VLOOKUP($C35,RING_ENGINE!$A$4:$K$21,6,FALSE),"—")</f>
        <v>11.2</v>
      </c>
      <c r="F35" s="106">
        <f>IFERROR(VLOOKUP($C35,RING_ENGINE!$A$4:$K$21,7,FALSE),"—")</f>
        <v>38.5</v>
      </c>
      <c r="G35" s="106">
        <f>IFERROR(VLOOKUP($C35,RING_ENGINE!$A$4:$K$21,8,FALSE),"—")</f>
        <v>28</v>
      </c>
      <c r="H35" s="111">
        <f>IFERROR(VLOOKUP($C35,RING_ENGINE!$A$4:$K$21,9,FALSE),"—")</f>
        <v>32.674999999999997</v>
      </c>
      <c r="I35" s="112" t="str">
        <f>IFERROR(VLOOKUP($C35,RING_ENGINE!$A$4:$K$21,10,FALSE),"—")</f>
        <v>MODERATE</v>
      </c>
      <c r="J35" s="113" t="str">
        <f>IFERROR(VLOOKUP($C35,RING_ENGINE!$A$4:$K$21,11,FALSE),"—")</f>
        <v>Malacca Strait</v>
      </c>
      <c r="K35" s="113" t="str">
        <f>IFERROR(VLOOKUP($C35,CP_OVERVIEW!$B$4:$H$21,7,FALSE),"—")</f>
        <v>Secondary bypass. Krakatoa geological hazard zone.</v>
      </c>
    </row>
    <row r="36" spans="1:12" ht="24" customHeight="1" x14ac:dyDescent="0.3">
      <c r="B36" s="25">
        <v>14</v>
      </c>
      <c r="C36" s="17" t="s">
        <v>50</v>
      </c>
      <c r="D36" s="103">
        <f>IFERROR(VLOOKUP($C36,RING_ENGINE!$A$4:$K$21,5,FALSE),"—")</f>
        <v>32.1</v>
      </c>
      <c r="E36" s="103">
        <f>IFERROR(VLOOKUP($C36,RING_ENGINE!$A$4:$K$21,6,FALSE),"—")</f>
        <v>31.9</v>
      </c>
      <c r="F36" s="103">
        <f>IFERROR(VLOOKUP($C36,RING_ENGINE!$A$4:$K$21,7,FALSE),"—")</f>
        <v>32.6</v>
      </c>
      <c r="G36" s="103">
        <f>IFERROR(VLOOKUP($C36,RING_ENGINE!$A$4:$K$21,8,FALSE),"—")</f>
        <v>40</v>
      </c>
      <c r="H36" s="114">
        <f>IFERROR(VLOOKUP($C36,RING_ENGINE!$A$4:$K$21,9,FALSE),"—")</f>
        <v>32.914999999999999</v>
      </c>
      <c r="I36" s="115" t="str">
        <f>IFERROR(VLOOKUP($C36,RING_ENGINE!$A$4:$K$21,10,FALSE),"—")</f>
        <v>MODERATE</v>
      </c>
      <c r="J36" s="116" t="str">
        <f>IFERROR(VLOOKUP($C36,RING_ENGINE!$A$4:$K$21,11,FALSE),"—")</f>
        <v>Drake Passage</v>
      </c>
      <c r="K36" s="116" t="str">
        <f>IFERROR(VLOOKUP($C36,CP_OVERVIEW!$B$4:$H$21,7,FALSE),"—")</f>
        <v>Rough weather limits use. Emergency Antarctica routing.</v>
      </c>
    </row>
    <row r="37" spans="1:12" ht="24" customHeight="1" x14ac:dyDescent="0.3">
      <c r="B37" s="21">
        <v>15</v>
      </c>
      <c r="C37" s="13" t="s">
        <v>51</v>
      </c>
      <c r="D37" s="106">
        <f>IFERROR(VLOOKUP($C37,RING_ENGINE!$A$4:$K$21,5,FALSE),"—")</f>
        <v>31</v>
      </c>
      <c r="E37" s="106">
        <f>IFERROR(VLOOKUP($C37,RING_ENGINE!$A$4:$K$21,6,FALSE),"—")</f>
        <v>36.299999999999997</v>
      </c>
      <c r="F37" s="106">
        <f>IFERROR(VLOOKUP($C37,RING_ENGINE!$A$4:$K$21,7,FALSE),"—")</f>
        <v>34.799999999999997</v>
      </c>
      <c r="G37" s="106">
        <f>IFERROR(VLOOKUP($C37,RING_ENGINE!$A$4:$K$21,8,FALSE),"—")</f>
        <v>24</v>
      </c>
      <c r="H37" s="111">
        <f>IFERROR(VLOOKUP($C37,RING_ENGINE!$A$4:$K$21,9,FALSE),"—")</f>
        <v>32.195</v>
      </c>
      <c r="I37" s="112" t="str">
        <f>IFERROR(VLOOKUP($C37,RING_ENGINE!$A$4:$K$21,10,FALSE),"—")</f>
        <v>MODERATE</v>
      </c>
      <c r="J37" s="113" t="str">
        <f>IFERROR(VLOOKUP($C37,RING_ENGINE!$A$4:$K$21,11,FALSE),"—")</f>
        <v>Atlantic open ocean</v>
      </c>
      <c r="K37" s="113" t="str">
        <f>IFERROR(VLOOKUP($C37,CP_OVERVIEW!$B$4:$H$21,7,FALSE),"—")</f>
        <v>NATO-monitored. Gibraltar sovereignty periodically contested.</v>
      </c>
    </row>
    <row r="38" spans="1:12" ht="24" customHeight="1" x14ac:dyDescent="0.3">
      <c r="B38" s="25">
        <v>16</v>
      </c>
      <c r="C38" s="17" t="s">
        <v>52</v>
      </c>
      <c r="D38" s="103">
        <f>IFERROR(VLOOKUP($C38,RING_ENGINE!$A$4:$K$21,5,FALSE),"—")</f>
        <v>31.4</v>
      </c>
      <c r="E38" s="103">
        <f>IFERROR(VLOOKUP($C38,RING_ENGINE!$A$4:$K$21,6,FALSE),"—")</f>
        <v>32.1</v>
      </c>
      <c r="F38" s="103">
        <f>IFERROR(VLOOKUP($C38,RING_ENGINE!$A$4:$K$21,7,FALSE),"—")</f>
        <v>26.5</v>
      </c>
      <c r="G38" s="103">
        <f>IFERROR(VLOOKUP($C38,RING_ENGINE!$A$4:$K$21,8,FALSE),"—")</f>
        <v>30</v>
      </c>
      <c r="H38" s="114">
        <f>IFERROR(VLOOKUP($C38,RING_ENGINE!$A$4:$K$21,9,FALSE),"—")</f>
        <v>30.700000000000003</v>
      </c>
      <c r="I38" s="115" t="str">
        <f>IFERROR(VLOOKUP($C38,RING_ENGINE!$A$4:$K$21,10,FALSE),"—")</f>
        <v>MODERATE</v>
      </c>
      <c r="J38" s="116" t="str">
        <f>IFERROR(VLOOKUP($C38,RING_ENGINE!$A$4:$K$21,11,FALSE),"—")</f>
        <v>Philippine Sea (east of Taiwan)</v>
      </c>
      <c r="K38" s="116" t="str">
        <f>IFERROR(VLOOKUP($C38,CP_OVERVIEW!$B$4:$H$21,7,FALSE),"—")</f>
        <v>Military flashpoint. ~50% global semiconductor supply chain at stake.</v>
      </c>
    </row>
    <row r="39" spans="1:12" ht="24" customHeight="1" x14ac:dyDescent="0.3">
      <c r="B39" s="21">
        <v>17</v>
      </c>
      <c r="C39" s="13" t="s">
        <v>53</v>
      </c>
      <c r="D39" s="106">
        <f>IFERROR(VLOOKUP($C39,RING_ENGINE!$A$4:$K$21,5,FALSE),"—")</f>
        <v>42.6</v>
      </c>
      <c r="E39" s="106">
        <f>IFERROR(VLOOKUP($C39,RING_ENGINE!$A$4:$K$21,6,FALSE),"—")</f>
        <v>11.2</v>
      </c>
      <c r="F39" s="106">
        <f>IFERROR(VLOOKUP($C39,RING_ENGINE!$A$4:$K$21,7,FALSE),"—")</f>
        <v>25.7</v>
      </c>
      <c r="G39" s="106">
        <f>IFERROR(VLOOKUP($C39,RING_ENGINE!$A$4:$K$21,8,FALSE),"—")</f>
        <v>25</v>
      </c>
      <c r="H39" s="111">
        <f>IFERROR(VLOOKUP($C39,RING_ENGINE!$A$4:$K$21,9,FALSE),"—")</f>
        <v>30.455000000000002</v>
      </c>
      <c r="I39" s="112" t="str">
        <f>IFERROR(VLOOKUP($C39,RING_ENGINE!$A$4:$K$21,10,FALSE),"—")</f>
        <v>MODERATE</v>
      </c>
      <c r="J39" s="113" t="str">
        <f>IFERROR(VLOOKUP($C39,RING_ENGINE!$A$4:$K$21,11,FALSE),"—")</f>
        <v>Malacca Strait</v>
      </c>
      <c r="K39" s="113" t="str">
        <f>IFERROR(VLOOKUP($C39,CP_OVERVIEW!$B$4:$H$21,7,FALSE),"—")</f>
        <v>Primary deep-water Malacca bypass for tankers/carriers.</v>
      </c>
    </row>
    <row r="40" spans="1:12" ht="24" customHeight="1" x14ac:dyDescent="0.3">
      <c r="B40" s="25">
        <v>18</v>
      </c>
      <c r="C40" s="17" t="s">
        <v>54</v>
      </c>
      <c r="D40" s="103">
        <f>IFERROR(VLOOKUP($C40,RING_ENGINE!$A$4:$K$21,5,FALSE),"—")</f>
        <v>9.3000000000000007</v>
      </c>
      <c r="E40" s="103">
        <f>IFERROR(VLOOKUP($C40,RING_ENGINE!$A$4:$K$21,6,FALSE),"—")</f>
        <v>26.2</v>
      </c>
      <c r="F40" s="103">
        <f>IFERROR(VLOOKUP($C40,RING_ENGINE!$A$4:$K$21,7,FALSE),"—")</f>
        <v>35.700000000000003</v>
      </c>
      <c r="G40" s="103">
        <f>IFERROR(VLOOKUP($C40,RING_ENGINE!$A$4:$K$21,8,FALSE),"—")</f>
        <v>53</v>
      </c>
      <c r="H40" s="114">
        <f>IFERROR(VLOOKUP($C40,RING_ENGINE!$A$4:$K$21,9,FALSE),"—")</f>
        <v>21.855</v>
      </c>
      <c r="I40" s="115" t="str">
        <f>IFERROR(VLOOKUP($C40,RING_ENGINE!$A$4:$K$21,10,FALSE),"—")</f>
        <v>MODERATE</v>
      </c>
      <c r="J40" s="116" t="str">
        <f>IFERROR(VLOOKUP($C40,RING_ENGINE!$A$4:$K$21,11,FALSE),"—")</f>
        <v>None (no bypass exists)</v>
      </c>
      <c r="K40" s="116" t="str">
        <f>IFERROR(VLOOKUP($C40,CP_OVERVIEW!$B$4:$H$21,7,FALSE),"—")</f>
        <v>Russian Baltic Fleet passage. NATO Article 5 littoral states.</v>
      </c>
    </row>
    <row r="41" spans="1:12" ht="7.5" customHeight="1" x14ac:dyDescent="0.3"/>
    <row r="42" spans="1:12" ht="19.5" customHeight="1" x14ac:dyDescent="0.3">
      <c r="A42" s="4"/>
      <c r="B42" s="125" t="s">
        <v>869</v>
      </c>
      <c r="C42" s="118"/>
      <c r="D42" s="118"/>
      <c r="E42" s="118"/>
      <c r="F42" s="118"/>
      <c r="G42" s="118"/>
      <c r="H42" s="118"/>
      <c r="I42" s="118"/>
      <c r="J42" s="118"/>
      <c r="K42" s="118"/>
      <c r="L42" s="4"/>
    </row>
  </sheetData>
  <mergeCells count="18">
    <mergeCell ref="B42:K42"/>
    <mergeCell ref="G9:H9"/>
    <mergeCell ref="B2:J2"/>
    <mergeCell ref="B11:K11"/>
    <mergeCell ref="J9:K9"/>
    <mergeCell ref="B19:K19"/>
    <mergeCell ref="B6:G6"/>
    <mergeCell ref="B21:K21"/>
    <mergeCell ref="C9:E9"/>
    <mergeCell ref="G14:K14"/>
    <mergeCell ref="C5:G5"/>
    <mergeCell ref="G13:K13"/>
    <mergeCell ref="B3:J3"/>
    <mergeCell ref="B8:K8"/>
    <mergeCell ref="G12:K12"/>
    <mergeCell ref="G15:K15"/>
    <mergeCell ref="B18:K18"/>
    <mergeCell ref="G16:K16"/>
  </mergeCells>
  <conditionalFormatting sqref="I23:I40">
    <cfRule type="cellIs" dxfId="9" priority="6" operator="equal">
      <formula>"LOW"</formula>
    </cfRule>
    <cfRule type="cellIs" dxfId="8" priority="7" operator="equal">
      <formula>"MODERATE"</formula>
    </cfRule>
    <cfRule type="cellIs" dxfId="7" priority="8" operator="equal">
      <formula>"ELEVATED"</formula>
    </cfRule>
    <cfRule type="cellIs" dxfId="6" priority="9" operator="equal">
      <formula>"HIGH"</formula>
    </cfRule>
    <cfRule type="cellIs" dxfId="5" priority="10" operator="equal">
      <formula>"CRITICAL"</formula>
    </cfRule>
  </conditionalFormatting>
  <dataValidations count="1">
    <dataValidation type="list" sqref="C5" xr:uid="{00000000-0002-0000-0000-000000000000}">
      <formula1>"Strait of Hormuz,Strait of Malacca,Suez Canal,Bab el-Mandeb,Panama Canal,Bosphorus / Turkish Straits,Strait of Gibraltar,Cape of Good Hope,Danish Straits,Taiwan Strait,Korea Strait,Lombok Strait,Sunda Strait,Florida Straits,Windward Passage,Strait of Mage"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E4A6B"/>
  </sheetPr>
  <dimension ref="A1:H21"/>
  <sheetViews>
    <sheetView showGridLines="0" zoomScaleNormal="100" workbookViewId="0">
      <pane ySplit="3" topLeftCell="A4" activePane="bottomLeft" state="frozen"/>
      <selection pane="bottomLeft" activeCell="G3" sqref="G3"/>
    </sheetView>
  </sheetViews>
  <sheetFormatPr defaultColWidth="8.6640625" defaultRowHeight="14.4" x14ac:dyDescent="0.3"/>
  <cols>
    <col min="1" max="1" width="4" customWidth="1"/>
    <col min="2" max="2" width="26" customWidth="1"/>
    <col min="3" max="3" width="32" customWidth="1"/>
    <col min="4" max="5" width="42" customWidth="1"/>
    <col min="6" max="6" width="10" customWidth="1"/>
    <col min="7" max="7" width="20" customWidth="1"/>
    <col min="8" max="8" width="50" customWidth="1"/>
  </cols>
  <sheetData>
    <row r="1" spans="1:8" ht="31.5" customHeight="1" x14ac:dyDescent="0.3">
      <c r="A1" s="130" t="s">
        <v>55</v>
      </c>
      <c r="B1" s="118"/>
      <c r="C1" s="118"/>
      <c r="D1" s="118"/>
      <c r="E1" s="118"/>
      <c r="F1" s="118"/>
      <c r="G1" s="118"/>
      <c r="H1" s="118"/>
    </row>
    <row r="2" spans="1:8" ht="19.5" customHeight="1" x14ac:dyDescent="0.3">
      <c r="A2" s="129" t="s">
        <v>56</v>
      </c>
      <c r="B2" s="118"/>
      <c r="C2" s="118"/>
      <c r="D2" s="118"/>
      <c r="E2" s="118"/>
      <c r="F2" s="118"/>
      <c r="G2" s="118"/>
      <c r="H2" s="118"/>
    </row>
    <row r="3" spans="1:8" ht="39.75" customHeight="1" x14ac:dyDescent="0.3">
      <c r="A3" s="30" t="s">
        <v>29</v>
      </c>
      <c r="B3" s="30" t="s">
        <v>30</v>
      </c>
      <c r="C3" s="30" t="s">
        <v>18</v>
      </c>
      <c r="D3" s="30" t="s">
        <v>20</v>
      </c>
      <c r="E3" s="30" t="s">
        <v>797</v>
      </c>
      <c r="F3" s="30" t="s">
        <v>57</v>
      </c>
      <c r="G3" s="30" t="s">
        <v>58</v>
      </c>
      <c r="H3" s="30" t="s">
        <v>37</v>
      </c>
    </row>
    <row r="4" spans="1:8" ht="43.5" customHeight="1" x14ac:dyDescent="0.3">
      <c r="A4" s="25">
        <v>1</v>
      </c>
      <c r="B4" s="17" t="s">
        <v>4</v>
      </c>
      <c r="C4" s="3" t="s">
        <v>59</v>
      </c>
      <c r="D4" s="3" t="s">
        <v>60</v>
      </c>
      <c r="E4" s="3" t="s">
        <v>61</v>
      </c>
      <c r="F4" s="31">
        <v>6</v>
      </c>
      <c r="G4" s="3" t="s">
        <v>62</v>
      </c>
      <c r="H4" s="3" t="s">
        <v>63</v>
      </c>
    </row>
    <row r="5" spans="1:8" ht="43.5" customHeight="1" x14ac:dyDescent="0.3">
      <c r="A5" s="21">
        <v>2</v>
      </c>
      <c r="B5" s="13" t="s">
        <v>47</v>
      </c>
      <c r="C5" s="14" t="s">
        <v>64</v>
      </c>
      <c r="D5" s="14" t="s">
        <v>65</v>
      </c>
      <c r="E5" s="14" t="s">
        <v>66</v>
      </c>
      <c r="F5" s="32">
        <v>5</v>
      </c>
      <c r="G5" s="14" t="s">
        <v>67</v>
      </c>
      <c r="H5" s="14" t="s">
        <v>68</v>
      </c>
    </row>
    <row r="6" spans="1:8" ht="43.5" customHeight="1" x14ac:dyDescent="0.3">
      <c r="A6" s="25">
        <v>3</v>
      </c>
      <c r="B6" s="17" t="s">
        <v>42</v>
      </c>
      <c r="C6" s="3" t="s">
        <v>69</v>
      </c>
      <c r="D6" s="3" t="s">
        <v>70</v>
      </c>
      <c r="E6" s="3" t="s">
        <v>71</v>
      </c>
      <c r="F6" s="31">
        <v>4</v>
      </c>
      <c r="G6" s="3" t="s">
        <v>41</v>
      </c>
      <c r="H6" s="3" t="s">
        <v>72</v>
      </c>
    </row>
    <row r="7" spans="1:8" ht="43.5" customHeight="1" x14ac:dyDescent="0.3">
      <c r="A7" s="21">
        <v>4</v>
      </c>
      <c r="B7" s="13" t="s">
        <v>38</v>
      </c>
      <c r="C7" s="14" t="s">
        <v>73</v>
      </c>
      <c r="D7" s="14" t="s">
        <v>74</v>
      </c>
      <c r="E7" s="14" t="s">
        <v>75</v>
      </c>
      <c r="F7" s="32">
        <v>8</v>
      </c>
      <c r="G7" s="14" t="s">
        <v>41</v>
      </c>
      <c r="H7" s="14" t="s">
        <v>76</v>
      </c>
    </row>
    <row r="8" spans="1:8" ht="43.5" customHeight="1" x14ac:dyDescent="0.3">
      <c r="A8" s="25">
        <v>5</v>
      </c>
      <c r="B8" s="17" t="s">
        <v>45</v>
      </c>
      <c r="C8" s="3" t="s">
        <v>77</v>
      </c>
      <c r="D8" s="3" t="s">
        <v>78</v>
      </c>
      <c r="E8" s="3" t="s">
        <v>79</v>
      </c>
      <c r="F8" s="31">
        <v>3</v>
      </c>
      <c r="G8" s="3" t="s">
        <v>80</v>
      </c>
      <c r="H8" s="3" t="s">
        <v>81</v>
      </c>
    </row>
    <row r="9" spans="1:8" ht="43.5" customHeight="1" x14ac:dyDescent="0.3">
      <c r="A9" s="21">
        <v>6</v>
      </c>
      <c r="B9" s="13" t="s">
        <v>40</v>
      </c>
      <c r="C9" s="14" t="s">
        <v>82</v>
      </c>
      <c r="D9" s="14" t="s">
        <v>83</v>
      </c>
      <c r="E9" s="14" t="s">
        <v>84</v>
      </c>
      <c r="F9" s="32">
        <v>5</v>
      </c>
      <c r="G9" s="14" t="s">
        <v>62</v>
      </c>
      <c r="H9" s="14" t="s">
        <v>85</v>
      </c>
    </row>
    <row r="10" spans="1:8" ht="43.5" customHeight="1" x14ac:dyDescent="0.3">
      <c r="A10" s="25">
        <v>7</v>
      </c>
      <c r="B10" s="17" t="s">
        <v>51</v>
      </c>
      <c r="C10" s="3" t="s">
        <v>86</v>
      </c>
      <c r="D10" s="3" t="s">
        <v>87</v>
      </c>
      <c r="E10" s="3" t="s">
        <v>88</v>
      </c>
      <c r="F10" s="31">
        <v>3</v>
      </c>
      <c r="G10" s="3" t="s">
        <v>89</v>
      </c>
      <c r="H10" s="3" t="s">
        <v>90</v>
      </c>
    </row>
    <row r="11" spans="1:8" ht="43.5" customHeight="1" x14ac:dyDescent="0.3">
      <c r="A11" s="21">
        <v>8</v>
      </c>
      <c r="B11" s="13" t="s">
        <v>41</v>
      </c>
      <c r="C11" s="14" t="s">
        <v>91</v>
      </c>
      <c r="D11" s="14" t="s">
        <v>92</v>
      </c>
      <c r="E11" s="14" t="s">
        <v>93</v>
      </c>
      <c r="F11" s="32">
        <v>6</v>
      </c>
      <c r="G11" s="14" t="s">
        <v>94</v>
      </c>
      <c r="H11" s="14" t="s">
        <v>95</v>
      </c>
    </row>
    <row r="12" spans="1:8" ht="43.5" customHeight="1" x14ac:dyDescent="0.3">
      <c r="A12" s="25">
        <v>9</v>
      </c>
      <c r="B12" s="17" t="s">
        <v>54</v>
      </c>
      <c r="C12" s="3" t="s">
        <v>96</v>
      </c>
      <c r="D12" s="3" t="s">
        <v>97</v>
      </c>
      <c r="E12" s="3" t="s">
        <v>98</v>
      </c>
      <c r="F12" s="31">
        <v>4</v>
      </c>
      <c r="G12" s="3" t="s">
        <v>62</v>
      </c>
      <c r="H12" s="3" t="s">
        <v>99</v>
      </c>
    </row>
    <row r="13" spans="1:8" ht="43.5" customHeight="1" x14ac:dyDescent="0.3">
      <c r="A13" s="21">
        <v>10</v>
      </c>
      <c r="B13" s="13" t="s">
        <v>52</v>
      </c>
      <c r="C13" s="14" t="s">
        <v>100</v>
      </c>
      <c r="D13" s="14" t="s">
        <v>101</v>
      </c>
      <c r="E13" s="14" t="s">
        <v>102</v>
      </c>
      <c r="F13" s="32">
        <v>4</v>
      </c>
      <c r="G13" s="14" t="s">
        <v>103</v>
      </c>
      <c r="H13" s="14" t="s">
        <v>104</v>
      </c>
    </row>
    <row r="14" spans="1:8" ht="43.5" customHeight="1" x14ac:dyDescent="0.3">
      <c r="A14" s="25">
        <v>11</v>
      </c>
      <c r="B14" s="17" t="s">
        <v>48</v>
      </c>
      <c r="C14" s="3" t="s">
        <v>105</v>
      </c>
      <c r="D14" s="3" t="s">
        <v>106</v>
      </c>
      <c r="E14" s="3" t="s">
        <v>107</v>
      </c>
      <c r="F14" s="31">
        <v>4</v>
      </c>
      <c r="G14" s="3" t="s">
        <v>108</v>
      </c>
      <c r="H14" s="3" t="s">
        <v>109</v>
      </c>
    </row>
    <row r="15" spans="1:8" ht="43.5" customHeight="1" x14ac:dyDescent="0.3">
      <c r="A15" s="21">
        <v>12</v>
      </c>
      <c r="B15" s="13" t="s">
        <v>53</v>
      </c>
      <c r="C15" s="14" t="s">
        <v>110</v>
      </c>
      <c r="D15" s="14" t="s">
        <v>111</v>
      </c>
      <c r="E15" s="14" t="s">
        <v>112</v>
      </c>
      <c r="F15" s="32">
        <v>3</v>
      </c>
      <c r="G15" s="14" t="s">
        <v>113</v>
      </c>
      <c r="H15" s="14" t="s">
        <v>114</v>
      </c>
    </row>
    <row r="16" spans="1:8" ht="43.5" customHeight="1" x14ac:dyDescent="0.3">
      <c r="A16" s="25">
        <v>13</v>
      </c>
      <c r="B16" s="17" t="s">
        <v>49</v>
      </c>
      <c r="C16" s="3" t="s">
        <v>110</v>
      </c>
      <c r="D16" s="3" t="s">
        <v>111</v>
      </c>
      <c r="E16" s="3" t="s">
        <v>115</v>
      </c>
      <c r="F16" s="31">
        <v>4</v>
      </c>
      <c r="G16" s="3" t="s">
        <v>113</v>
      </c>
      <c r="H16" s="3" t="s">
        <v>116</v>
      </c>
    </row>
    <row r="17" spans="1:8" ht="43.5" customHeight="1" x14ac:dyDescent="0.3">
      <c r="A17" s="21">
        <v>14</v>
      </c>
      <c r="B17" s="13" t="s">
        <v>44</v>
      </c>
      <c r="C17" s="14" t="s">
        <v>117</v>
      </c>
      <c r="D17" s="14" t="s">
        <v>118</v>
      </c>
      <c r="E17" s="14" t="s">
        <v>79</v>
      </c>
      <c r="F17" s="32">
        <v>3</v>
      </c>
      <c r="G17" s="14" t="s">
        <v>119</v>
      </c>
      <c r="H17" s="14" t="s">
        <v>120</v>
      </c>
    </row>
    <row r="18" spans="1:8" ht="43.5" customHeight="1" x14ac:dyDescent="0.3">
      <c r="A18" s="25">
        <v>15</v>
      </c>
      <c r="B18" s="17" t="s">
        <v>43</v>
      </c>
      <c r="C18" s="3" t="s">
        <v>121</v>
      </c>
      <c r="D18" s="3" t="s">
        <v>122</v>
      </c>
      <c r="E18" s="3" t="s">
        <v>79</v>
      </c>
      <c r="F18" s="31">
        <v>5</v>
      </c>
      <c r="G18" s="3" t="s">
        <v>123</v>
      </c>
      <c r="H18" s="3" t="s">
        <v>124</v>
      </c>
    </row>
    <row r="19" spans="1:8" ht="43.5" customHeight="1" x14ac:dyDescent="0.3">
      <c r="A19" s="21">
        <v>16</v>
      </c>
      <c r="B19" s="13" t="s">
        <v>50</v>
      </c>
      <c r="C19" s="14" t="s">
        <v>125</v>
      </c>
      <c r="D19" s="14" t="s">
        <v>126</v>
      </c>
      <c r="E19" s="14" t="s">
        <v>127</v>
      </c>
      <c r="F19" s="32">
        <v>4</v>
      </c>
      <c r="G19" s="14" t="s">
        <v>128</v>
      </c>
      <c r="H19" s="14" t="s">
        <v>129</v>
      </c>
    </row>
    <row r="20" spans="1:8" ht="43.5" customHeight="1" x14ac:dyDescent="0.3">
      <c r="A20" s="25">
        <v>17</v>
      </c>
      <c r="B20" s="17" t="s">
        <v>46</v>
      </c>
      <c r="C20" s="3" t="s">
        <v>126</v>
      </c>
      <c r="D20" s="3" t="s">
        <v>130</v>
      </c>
      <c r="E20" s="3" t="s">
        <v>131</v>
      </c>
      <c r="F20" s="31">
        <v>7</v>
      </c>
      <c r="G20" s="3" t="s">
        <v>50</v>
      </c>
      <c r="H20" s="3" t="s">
        <v>132</v>
      </c>
    </row>
    <row r="21" spans="1:8" ht="43.5" customHeight="1" x14ac:dyDescent="0.3">
      <c r="A21" s="21">
        <v>18</v>
      </c>
      <c r="B21" s="13" t="s">
        <v>39</v>
      </c>
      <c r="C21" s="14" t="s">
        <v>133</v>
      </c>
      <c r="D21" s="14" t="s">
        <v>134</v>
      </c>
      <c r="E21" s="14" t="s">
        <v>135</v>
      </c>
      <c r="F21" s="32">
        <v>9</v>
      </c>
      <c r="G21" s="14" t="s">
        <v>136</v>
      </c>
      <c r="H21" s="14" t="s">
        <v>137</v>
      </c>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2980B9"/>
  </sheetPr>
  <dimension ref="A1:K21"/>
  <sheetViews>
    <sheetView showGridLines="0" zoomScaleNormal="100" workbookViewId="0">
      <pane xSplit="1" ySplit="3" topLeftCell="B15" activePane="bottomRight" state="frozen"/>
      <selection pane="topRight" activeCell="B1" sqref="B1"/>
      <selection pane="bottomLeft" activeCell="A4" sqref="A4"/>
      <selection pane="bottomRight" activeCell="A2" sqref="A2:K2"/>
    </sheetView>
  </sheetViews>
  <sheetFormatPr defaultColWidth="8.6640625" defaultRowHeight="14.4" x14ac:dyDescent="0.3"/>
  <cols>
    <col min="1" max="1" width="26" customWidth="1"/>
    <col min="2" max="2" width="32" customWidth="1"/>
    <col min="3" max="4" width="36" customWidth="1"/>
    <col min="5" max="9" width="10" customWidth="1"/>
    <col min="10" max="11" width="12" customWidth="1"/>
  </cols>
  <sheetData>
    <row r="1" spans="1:11" ht="31.5" customHeight="1" x14ac:dyDescent="0.3">
      <c r="A1" s="130" t="s">
        <v>138</v>
      </c>
      <c r="B1" s="118"/>
      <c r="C1" s="118"/>
      <c r="D1" s="118"/>
      <c r="E1" s="118"/>
      <c r="F1" s="118"/>
      <c r="G1" s="118"/>
      <c r="H1" s="118"/>
      <c r="I1" s="118"/>
      <c r="J1" s="118"/>
      <c r="K1" s="118"/>
    </row>
    <row r="2" spans="1:11" ht="19.5" customHeight="1" x14ac:dyDescent="0.3">
      <c r="A2" s="129" t="s">
        <v>139</v>
      </c>
      <c r="B2" s="118"/>
      <c r="C2" s="118"/>
      <c r="D2" s="118"/>
      <c r="E2" s="118"/>
      <c r="F2" s="118"/>
      <c r="G2" s="118"/>
      <c r="H2" s="118"/>
      <c r="I2" s="118"/>
      <c r="J2" s="118"/>
      <c r="K2" s="118"/>
    </row>
    <row r="3" spans="1:11" ht="39.75" customHeight="1" x14ac:dyDescent="0.3">
      <c r="A3" s="30" t="s">
        <v>30</v>
      </c>
      <c r="B3" s="30" t="s">
        <v>140</v>
      </c>
      <c r="C3" s="30" t="s">
        <v>141</v>
      </c>
      <c r="D3" s="30" t="s">
        <v>142</v>
      </c>
      <c r="E3" s="30" t="s">
        <v>143</v>
      </c>
      <c r="F3" s="30" t="s">
        <v>144</v>
      </c>
      <c r="G3" s="30" t="s">
        <v>145</v>
      </c>
      <c r="H3" s="30" t="s">
        <v>146</v>
      </c>
      <c r="I3" s="30" t="s">
        <v>147</v>
      </c>
      <c r="J3" s="30" t="s">
        <v>6</v>
      </c>
      <c r="K3" s="30" t="s">
        <v>36</v>
      </c>
    </row>
    <row r="4" spans="1:11" ht="31.5" customHeight="1" x14ac:dyDescent="0.3">
      <c r="A4" s="17" t="s">
        <v>4</v>
      </c>
      <c r="B4" s="3" t="s">
        <v>59</v>
      </c>
      <c r="C4" s="3" t="s">
        <v>60</v>
      </c>
      <c r="D4" s="3" t="s">
        <v>61</v>
      </c>
      <c r="E4" s="101">
        <v>52</v>
      </c>
      <c r="F4" s="102">
        <v>37.200000000000003</v>
      </c>
      <c r="G4" s="33">
        <v>41.1</v>
      </c>
      <c r="H4" s="103">
        <v>38</v>
      </c>
      <c r="I4" s="104">
        <f>E4*'00_CONFIG'!$C$5+F4*'00_CONFIG'!$C$6+G4*'00_CONFIG'!$C$7+H4*'00_CONFIG'!$C$8</f>
        <v>45.264999999999993</v>
      </c>
      <c r="J4" s="105" t="str">
        <f t="shared" ref="J4:J21" si="0">IF(I4&lt;=20,"LOW",IF(I4&lt;=40,"MODERATE",IF(I4&lt;=60,"ELEVATED",IF(I4&lt;=80,"HIGH","CRITICAL"))))</f>
        <v>ELEVATED</v>
      </c>
      <c r="K4" s="70" t="s">
        <v>148</v>
      </c>
    </row>
    <row r="5" spans="1:11" ht="31.5" customHeight="1" x14ac:dyDescent="0.3">
      <c r="A5" s="13" t="s">
        <v>47</v>
      </c>
      <c r="B5" s="14" t="s">
        <v>64</v>
      </c>
      <c r="C5" s="14" t="s">
        <v>65</v>
      </c>
      <c r="D5" s="14" t="s">
        <v>66</v>
      </c>
      <c r="E5" s="102">
        <v>31.3</v>
      </c>
      <c r="F5" s="101">
        <v>40.299999999999997</v>
      </c>
      <c r="G5" s="34">
        <v>31.5</v>
      </c>
      <c r="H5" s="106">
        <v>36</v>
      </c>
      <c r="I5" s="104">
        <f>E5*'00_CONFIG'!$C$5+F5*'00_CONFIG'!$C$6+G5*'00_CONFIG'!$C$7+H5*'00_CONFIG'!$C$8</f>
        <v>34.050000000000004</v>
      </c>
      <c r="J5" s="107" t="str">
        <f t="shared" si="0"/>
        <v>MODERATE</v>
      </c>
      <c r="K5" s="14" t="s">
        <v>67</v>
      </c>
    </row>
    <row r="6" spans="1:11" ht="31.5" customHeight="1" x14ac:dyDescent="0.3">
      <c r="A6" s="17" t="s">
        <v>42</v>
      </c>
      <c r="B6" s="3" t="s">
        <v>69</v>
      </c>
      <c r="C6" s="3" t="s">
        <v>70</v>
      </c>
      <c r="D6" s="3" t="s">
        <v>71</v>
      </c>
      <c r="E6" s="101">
        <v>52.7</v>
      </c>
      <c r="F6" s="101">
        <v>52.8</v>
      </c>
      <c r="G6" s="33">
        <v>41.8</v>
      </c>
      <c r="H6" s="103">
        <v>60</v>
      </c>
      <c r="I6" s="104">
        <f>E6*'00_CONFIG'!$C$5+F6*'00_CONFIG'!$C$6+G6*'00_CONFIG'!$C$7+H6*'00_CONFIG'!$C$8</f>
        <v>51.819999999999993</v>
      </c>
      <c r="J6" s="105" t="str">
        <f t="shared" si="0"/>
        <v>ELEVATED</v>
      </c>
      <c r="K6" s="3" t="s">
        <v>41</v>
      </c>
    </row>
    <row r="7" spans="1:11" ht="31.5" customHeight="1" x14ac:dyDescent="0.3">
      <c r="A7" s="13" t="s">
        <v>38</v>
      </c>
      <c r="B7" s="14" t="s">
        <v>73</v>
      </c>
      <c r="C7" s="14" t="s">
        <v>74</v>
      </c>
      <c r="D7" s="14" t="s">
        <v>75</v>
      </c>
      <c r="E7" s="108">
        <v>69.8</v>
      </c>
      <c r="F7" s="108">
        <v>67.900000000000006</v>
      </c>
      <c r="G7" s="33">
        <v>42</v>
      </c>
      <c r="H7" s="106">
        <v>38</v>
      </c>
      <c r="I7" s="104">
        <f>E7*'00_CONFIG'!$C$5+F7*'00_CONFIG'!$C$6+G7*'00_CONFIG'!$C$7+H7*'00_CONFIG'!$C$8</f>
        <v>61.974999999999994</v>
      </c>
      <c r="J7" s="109" t="str">
        <f t="shared" si="0"/>
        <v>HIGH</v>
      </c>
      <c r="K7" s="14" t="s">
        <v>41</v>
      </c>
    </row>
    <row r="8" spans="1:11" ht="31.5" customHeight="1" x14ac:dyDescent="0.3">
      <c r="A8" s="17" t="s">
        <v>45</v>
      </c>
      <c r="B8" s="3" t="s">
        <v>77</v>
      </c>
      <c r="C8" s="3" t="s">
        <v>78</v>
      </c>
      <c r="D8" s="3" t="s">
        <v>79</v>
      </c>
      <c r="E8" s="102">
        <v>35.6</v>
      </c>
      <c r="F8" s="102">
        <v>38.1</v>
      </c>
      <c r="G8" s="34">
        <v>38.5</v>
      </c>
      <c r="H8" s="103">
        <v>52</v>
      </c>
      <c r="I8" s="104">
        <f>E8*'00_CONFIG'!$C$5+F8*'00_CONFIG'!$C$6+G8*'00_CONFIG'!$C$7+H8*'00_CONFIG'!$C$8</f>
        <v>38.300000000000004</v>
      </c>
      <c r="J8" s="107" t="str">
        <f t="shared" si="0"/>
        <v>MODERATE</v>
      </c>
      <c r="K8" s="3" t="s">
        <v>80</v>
      </c>
    </row>
    <row r="9" spans="1:11" ht="31.5" customHeight="1" x14ac:dyDescent="0.3">
      <c r="A9" s="13" t="s">
        <v>40</v>
      </c>
      <c r="B9" s="14" t="s">
        <v>82</v>
      </c>
      <c r="C9" s="14" t="s">
        <v>83</v>
      </c>
      <c r="D9" s="14" t="s">
        <v>84</v>
      </c>
      <c r="E9" s="101">
        <v>57.7</v>
      </c>
      <c r="F9" s="101">
        <v>45.6</v>
      </c>
      <c r="G9" s="34">
        <v>35.700000000000003</v>
      </c>
      <c r="H9" s="106">
        <v>59</v>
      </c>
      <c r="I9" s="104">
        <f>E9*'00_CONFIG'!$C$5+F9*'00_CONFIG'!$C$6+G9*'00_CONFIG'!$C$7+H9*'00_CONFIG'!$C$8</f>
        <v>51.505000000000003</v>
      </c>
      <c r="J9" s="105" t="str">
        <f t="shared" si="0"/>
        <v>ELEVATED</v>
      </c>
      <c r="K9" s="71" t="s">
        <v>148</v>
      </c>
    </row>
    <row r="10" spans="1:11" ht="31.5" customHeight="1" x14ac:dyDescent="0.3">
      <c r="A10" s="17" t="s">
        <v>51</v>
      </c>
      <c r="B10" s="3" t="s">
        <v>86</v>
      </c>
      <c r="C10" s="3" t="s">
        <v>87</v>
      </c>
      <c r="D10" s="3" t="s">
        <v>88</v>
      </c>
      <c r="E10" s="102">
        <v>31</v>
      </c>
      <c r="F10" s="102">
        <v>36.299999999999997</v>
      </c>
      <c r="G10" s="34">
        <v>34.799999999999997</v>
      </c>
      <c r="H10" s="103">
        <v>24</v>
      </c>
      <c r="I10" s="104">
        <f>E10*'00_CONFIG'!$C$5+F10*'00_CONFIG'!$C$6+G10*'00_CONFIG'!$C$7+H10*'00_CONFIG'!$C$8</f>
        <v>32.195</v>
      </c>
      <c r="J10" s="107" t="str">
        <f t="shared" si="0"/>
        <v>MODERATE</v>
      </c>
      <c r="K10" s="3" t="s">
        <v>89</v>
      </c>
    </row>
    <row r="11" spans="1:11" ht="31.5" customHeight="1" x14ac:dyDescent="0.3">
      <c r="A11" s="13" t="s">
        <v>41</v>
      </c>
      <c r="B11" s="14" t="s">
        <v>91</v>
      </c>
      <c r="C11" s="14" t="s">
        <v>92</v>
      </c>
      <c r="D11" s="14" t="s">
        <v>93</v>
      </c>
      <c r="E11" s="101">
        <v>48.2</v>
      </c>
      <c r="F11" s="101">
        <v>56.8</v>
      </c>
      <c r="G11" s="34">
        <v>38.9</v>
      </c>
      <c r="H11" s="106">
        <v>18</v>
      </c>
      <c r="I11" s="104">
        <f>E11*'00_CONFIG'!$C$5+F11*'00_CONFIG'!$C$6+G11*'00_CONFIG'!$C$7+H11*'00_CONFIG'!$C$8</f>
        <v>45.934999999999995</v>
      </c>
      <c r="J11" s="105" t="str">
        <f t="shared" si="0"/>
        <v>ELEVATED</v>
      </c>
      <c r="K11" s="14" t="s">
        <v>94</v>
      </c>
    </row>
    <row r="12" spans="1:11" ht="31.5" customHeight="1" x14ac:dyDescent="0.3">
      <c r="A12" s="17" t="s">
        <v>54</v>
      </c>
      <c r="B12" s="3" t="s">
        <v>96</v>
      </c>
      <c r="C12" s="3" t="s">
        <v>97</v>
      </c>
      <c r="D12" s="3" t="s">
        <v>98</v>
      </c>
      <c r="E12" s="110">
        <v>9.3000000000000007</v>
      </c>
      <c r="F12" s="102">
        <v>26.2</v>
      </c>
      <c r="G12" s="34">
        <v>35.700000000000003</v>
      </c>
      <c r="H12" s="103">
        <v>53</v>
      </c>
      <c r="I12" s="104">
        <f>E12*'00_CONFIG'!$C$5+F12*'00_CONFIG'!$C$6+G12*'00_CONFIG'!$C$7+H12*'00_CONFIG'!$C$8</f>
        <v>21.855</v>
      </c>
      <c r="J12" s="107" t="str">
        <f t="shared" si="0"/>
        <v>MODERATE</v>
      </c>
      <c r="K12" s="70" t="s">
        <v>148</v>
      </c>
    </row>
    <row r="13" spans="1:11" ht="31.5" customHeight="1" x14ac:dyDescent="0.3">
      <c r="A13" s="13" t="s">
        <v>52</v>
      </c>
      <c r="B13" s="14" t="s">
        <v>100</v>
      </c>
      <c r="C13" s="14" t="s">
        <v>101</v>
      </c>
      <c r="D13" s="14" t="s">
        <v>102</v>
      </c>
      <c r="E13" s="102">
        <v>31.4</v>
      </c>
      <c r="F13" s="102">
        <v>32.1</v>
      </c>
      <c r="G13" s="34">
        <v>26.5</v>
      </c>
      <c r="H13" s="106">
        <v>30</v>
      </c>
      <c r="I13" s="104">
        <f>E13*'00_CONFIG'!$C$5+F13*'00_CONFIG'!$C$6+G13*'00_CONFIG'!$C$7+H13*'00_CONFIG'!$C$8</f>
        <v>30.700000000000003</v>
      </c>
      <c r="J13" s="107" t="str">
        <f t="shared" si="0"/>
        <v>MODERATE</v>
      </c>
      <c r="K13" s="14" t="s">
        <v>103</v>
      </c>
    </row>
    <row r="14" spans="1:11" ht="31.5" customHeight="1" x14ac:dyDescent="0.3">
      <c r="A14" s="17" t="s">
        <v>48</v>
      </c>
      <c r="B14" s="3" t="s">
        <v>105</v>
      </c>
      <c r="C14" s="3" t="s">
        <v>106</v>
      </c>
      <c r="D14" s="3" t="s">
        <v>107</v>
      </c>
      <c r="E14" s="110">
        <v>17.5</v>
      </c>
      <c r="F14" s="101">
        <v>59.5</v>
      </c>
      <c r="G14" s="33">
        <v>47.9</v>
      </c>
      <c r="H14" s="103">
        <v>27</v>
      </c>
      <c r="I14" s="104">
        <f>E14*'00_CONFIG'!$C$5+F14*'00_CONFIG'!$C$6+G14*'00_CONFIG'!$C$7+H14*'00_CONFIG'!$C$8</f>
        <v>33.51</v>
      </c>
      <c r="J14" s="107" t="str">
        <f t="shared" si="0"/>
        <v>MODERATE</v>
      </c>
      <c r="K14" s="3" t="s">
        <v>108</v>
      </c>
    </row>
    <row r="15" spans="1:11" ht="31.5" customHeight="1" x14ac:dyDescent="0.3">
      <c r="A15" s="13" t="s">
        <v>53</v>
      </c>
      <c r="B15" s="14" t="s">
        <v>110</v>
      </c>
      <c r="C15" s="14" t="s">
        <v>111</v>
      </c>
      <c r="D15" s="14" t="s">
        <v>112</v>
      </c>
      <c r="E15" s="101">
        <v>42.6</v>
      </c>
      <c r="F15" s="110">
        <v>11.2</v>
      </c>
      <c r="G15" s="34">
        <v>25.7</v>
      </c>
      <c r="H15" s="106">
        <v>25</v>
      </c>
      <c r="I15" s="104">
        <f>E15*'00_CONFIG'!$C$5+F15*'00_CONFIG'!$C$6+G15*'00_CONFIG'!$C$7+H15*'00_CONFIG'!$C$8</f>
        <v>30.455000000000002</v>
      </c>
      <c r="J15" s="107" t="str">
        <f t="shared" si="0"/>
        <v>MODERATE</v>
      </c>
      <c r="K15" s="14" t="s">
        <v>113</v>
      </c>
    </row>
    <row r="16" spans="1:11" ht="31.5" customHeight="1" x14ac:dyDescent="0.3">
      <c r="A16" s="17" t="s">
        <v>49</v>
      </c>
      <c r="B16" s="3" t="s">
        <v>110</v>
      </c>
      <c r="C16" s="3" t="s">
        <v>111</v>
      </c>
      <c r="D16" s="3" t="s">
        <v>115</v>
      </c>
      <c r="E16" s="101">
        <v>42.6</v>
      </c>
      <c r="F16" s="110">
        <v>11.2</v>
      </c>
      <c r="G16" s="34">
        <v>38.5</v>
      </c>
      <c r="H16" s="103">
        <v>28</v>
      </c>
      <c r="I16" s="104">
        <f>E16*'00_CONFIG'!$C$5+F16*'00_CONFIG'!$C$6+G16*'00_CONFIG'!$C$7+H16*'00_CONFIG'!$C$8</f>
        <v>32.674999999999997</v>
      </c>
      <c r="J16" s="107" t="str">
        <f t="shared" si="0"/>
        <v>MODERATE</v>
      </c>
      <c r="K16" s="3" t="s">
        <v>113</v>
      </c>
    </row>
    <row r="17" spans="1:11" ht="31.5" customHeight="1" x14ac:dyDescent="0.3">
      <c r="A17" s="13" t="s">
        <v>44</v>
      </c>
      <c r="B17" s="14" t="s">
        <v>117</v>
      </c>
      <c r="C17" s="14" t="s">
        <v>118</v>
      </c>
      <c r="D17" s="14" t="s">
        <v>79</v>
      </c>
      <c r="E17" s="102">
        <v>32.1</v>
      </c>
      <c r="F17" s="101">
        <v>45.9</v>
      </c>
      <c r="G17" s="34">
        <v>38.5</v>
      </c>
      <c r="H17" s="106">
        <v>19</v>
      </c>
      <c r="I17" s="104">
        <f>E17*'00_CONFIG'!$C$5+F17*'00_CONFIG'!$C$6+G17*'00_CONFIG'!$C$7+H17*'00_CONFIG'!$C$8</f>
        <v>35.199999999999996</v>
      </c>
      <c r="J17" s="107" t="str">
        <f t="shared" si="0"/>
        <v>MODERATE</v>
      </c>
      <c r="K17" s="14" t="s">
        <v>119</v>
      </c>
    </row>
    <row r="18" spans="1:11" ht="31.5" customHeight="1" x14ac:dyDescent="0.3">
      <c r="A18" s="17" t="s">
        <v>43</v>
      </c>
      <c r="B18" s="3" t="s">
        <v>121</v>
      </c>
      <c r="C18" s="3" t="s">
        <v>122</v>
      </c>
      <c r="D18" s="3" t="s">
        <v>79</v>
      </c>
      <c r="E18" s="101">
        <v>52.4</v>
      </c>
      <c r="F18" s="102">
        <v>35.299999999999997</v>
      </c>
      <c r="G18" s="34">
        <v>38.5</v>
      </c>
      <c r="H18" s="103">
        <v>25</v>
      </c>
      <c r="I18" s="104">
        <f>E18*'00_CONFIG'!$C$5+F18*'00_CONFIG'!$C$6+G18*'00_CONFIG'!$C$7+H18*'00_CONFIG'!$C$8</f>
        <v>43.3</v>
      </c>
      <c r="J18" s="105" t="str">
        <f t="shared" si="0"/>
        <v>ELEVATED</v>
      </c>
      <c r="K18" s="3" t="s">
        <v>123</v>
      </c>
    </row>
    <row r="19" spans="1:11" ht="31.5" customHeight="1" x14ac:dyDescent="0.3">
      <c r="A19" s="13" t="s">
        <v>50</v>
      </c>
      <c r="B19" s="14" t="s">
        <v>125</v>
      </c>
      <c r="C19" s="14" t="s">
        <v>126</v>
      </c>
      <c r="D19" s="14" t="s">
        <v>127</v>
      </c>
      <c r="E19" s="102">
        <v>32.1</v>
      </c>
      <c r="F19" s="102">
        <v>31.9</v>
      </c>
      <c r="G19" s="34">
        <v>32.6</v>
      </c>
      <c r="H19" s="106">
        <v>40</v>
      </c>
      <c r="I19" s="104">
        <f>E19*'00_CONFIG'!$C$5+F19*'00_CONFIG'!$C$6+G19*'00_CONFIG'!$C$7+H19*'00_CONFIG'!$C$8</f>
        <v>32.914999999999999</v>
      </c>
      <c r="J19" s="107" t="str">
        <f t="shared" si="0"/>
        <v>MODERATE</v>
      </c>
      <c r="K19" s="14" t="s">
        <v>128</v>
      </c>
    </row>
    <row r="20" spans="1:11" ht="31.5" customHeight="1" x14ac:dyDescent="0.3">
      <c r="A20" s="17" t="s">
        <v>46</v>
      </c>
      <c r="B20" s="3" t="s">
        <v>126</v>
      </c>
      <c r="C20" s="3" t="s">
        <v>130</v>
      </c>
      <c r="D20" s="3" t="s">
        <v>131</v>
      </c>
      <c r="E20" s="102">
        <v>31.9</v>
      </c>
      <c r="F20" s="102">
        <v>32.299999999999997</v>
      </c>
      <c r="G20" s="34">
        <v>32.6</v>
      </c>
      <c r="H20" s="103">
        <v>28</v>
      </c>
      <c r="I20" s="104">
        <f>E20*'00_CONFIG'!$C$5+F20*'00_CONFIG'!$C$6+G20*'00_CONFIG'!$C$7+H20*'00_CONFIG'!$C$8</f>
        <v>31.715</v>
      </c>
      <c r="J20" s="107" t="str">
        <f t="shared" si="0"/>
        <v>MODERATE</v>
      </c>
      <c r="K20" s="3" t="s">
        <v>50</v>
      </c>
    </row>
    <row r="21" spans="1:11" ht="31.5" customHeight="1" x14ac:dyDescent="0.3">
      <c r="A21" s="13" t="s">
        <v>39</v>
      </c>
      <c r="B21" s="14" t="s">
        <v>133</v>
      </c>
      <c r="C21" s="14" t="s">
        <v>134</v>
      </c>
      <c r="D21" s="14" t="s">
        <v>135</v>
      </c>
      <c r="E21" s="108">
        <v>66.599999999999994</v>
      </c>
      <c r="F21" s="110">
        <v>18.100000000000001</v>
      </c>
      <c r="G21" s="34">
        <v>28</v>
      </c>
      <c r="H21" s="106">
        <v>36</v>
      </c>
      <c r="I21" s="104">
        <f>E21*'00_CONFIG'!$C$5+F21*'00_CONFIG'!$C$6+G21*'00_CONFIG'!$C$7+H21*'00_CONFIG'!$C$8</f>
        <v>45.625</v>
      </c>
      <c r="J21" s="105" t="str">
        <f t="shared" si="0"/>
        <v>ELEVATED</v>
      </c>
      <c r="K21" s="14" t="s">
        <v>136</v>
      </c>
    </row>
  </sheetData>
  <mergeCells count="2">
    <mergeCell ref="A2:K2"/>
    <mergeCell ref="A1:K1"/>
  </mergeCells>
  <conditionalFormatting sqref="J4:J21">
    <cfRule type="cellIs" dxfId="4" priority="6" operator="equal">
      <formula>"LOW"</formula>
    </cfRule>
    <cfRule type="cellIs" dxfId="3" priority="7" operator="equal">
      <formula>"MODERATE"</formula>
    </cfRule>
    <cfRule type="cellIs" dxfId="2" priority="8" operator="equal">
      <formula>"ELEVATED"</formula>
    </cfRule>
    <cfRule type="cellIs" dxfId="1" priority="9" operator="equal">
      <formula>"HIGH"</formula>
    </cfRule>
    <cfRule type="cellIs" dxfId="0" priority="10" operator="equal">
      <formula>"CRITICAL"</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67E22"/>
  </sheetPr>
  <dimension ref="A1:L21"/>
  <sheetViews>
    <sheetView showGridLines="0" workbookViewId="0">
      <pane xSplit="1" ySplit="3" topLeftCell="B4" activePane="bottomRight" state="frozen"/>
      <selection pane="topRight"/>
      <selection pane="bottomLeft"/>
      <selection pane="bottomRight" activeCell="O4" sqref="O4"/>
    </sheetView>
  </sheetViews>
  <sheetFormatPr defaultRowHeight="14.4" x14ac:dyDescent="0.3"/>
  <cols>
    <col min="1" max="1" width="26" customWidth="1"/>
    <col min="2" max="3" width="10" customWidth="1"/>
    <col min="4" max="5" width="8" customWidth="1"/>
    <col min="6" max="8" width="10" customWidth="1"/>
    <col min="9" max="9" width="8" customWidth="1"/>
    <col min="10" max="10" width="12" customWidth="1"/>
    <col min="11" max="12" width="10" customWidth="1"/>
  </cols>
  <sheetData>
    <row r="1" spans="1:12" ht="31.95" customHeight="1" x14ac:dyDescent="0.3">
      <c r="A1" s="132" t="s">
        <v>867</v>
      </c>
      <c r="B1" s="118"/>
      <c r="C1" s="118"/>
      <c r="D1" s="118"/>
      <c r="E1" s="118"/>
      <c r="F1" s="118"/>
      <c r="G1" s="118"/>
      <c r="H1" s="118"/>
      <c r="I1" s="118"/>
      <c r="J1" s="118"/>
      <c r="K1" s="118"/>
      <c r="L1" s="118"/>
    </row>
    <row r="2" spans="1:12" ht="19.95" customHeight="1" x14ac:dyDescent="0.3">
      <c r="A2" s="131" t="s">
        <v>149</v>
      </c>
      <c r="B2" s="118"/>
      <c r="C2" s="118"/>
      <c r="D2" s="118"/>
      <c r="E2" s="118"/>
      <c r="F2" s="118"/>
      <c r="G2" s="118"/>
      <c r="H2" s="118"/>
      <c r="I2" s="118"/>
      <c r="J2" s="118"/>
      <c r="K2" s="118"/>
      <c r="L2" s="118"/>
    </row>
    <row r="3" spans="1:12" ht="40.049999999999997" customHeight="1" x14ac:dyDescent="0.3">
      <c r="A3" s="74" t="s">
        <v>30</v>
      </c>
      <c r="B3" s="74" t="s">
        <v>150</v>
      </c>
      <c r="C3" s="74" t="s">
        <v>151</v>
      </c>
      <c r="D3" s="74" t="s">
        <v>152</v>
      </c>
      <c r="E3" s="74" t="s">
        <v>153</v>
      </c>
      <c r="F3" s="74" t="s">
        <v>154</v>
      </c>
      <c r="G3" s="74" t="s">
        <v>155</v>
      </c>
      <c r="H3" s="74" t="s">
        <v>156</v>
      </c>
      <c r="I3" s="74" t="s">
        <v>157</v>
      </c>
      <c r="J3" s="74" t="s">
        <v>158</v>
      </c>
      <c r="K3" s="74" t="s">
        <v>159</v>
      </c>
      <c r="L3" s="74" t="s">
        <v>6</v>
      </c>
    </row>
    <row r="4" spans="1:12" ht="24" customHeight="1" x14ac:dyDescent="0.3">
      <c r="A4" s="75" t="s">
        <v>4</v>
      </c>
      <c r="B4" s="72">
        <v>21</v>
      </c>
      <c r="C4" s="76">
        <v>80</v>
      </c>
      <c r="D4" s="77">
        <v>2</v>
      </c>
      <c r="E4" s="78">
        <v>26</v>
      </c>
      <c r="F4" s="79">
        <v>0.43</v>
      </c>
      <c r="G4" s="72">
        <v>1.81</v>
      </c>
      <c r="H4" s="78">
        <v>8.5</v>
      </c>
      <c r="I4" s="80">
        <v>100</v>
      </c>
      <c r="J4" s="81">
        <v>37.5</v>
      </c>
      <c r="K4" s="82">
        <v>3.8</v>
      </c>
      <c r="L4" s="83" t="s">
        <v>160</v>
      </c>
    </row>
    <row r="5" spans="1:12" ht="24" customHeight="1" x14ac:dyDescent="0.3">
      <c r="A5" s="84" t="s">
        <v>47</v>
      </c>
      <c r="B5" s="73">
        <v>1.5</v>
      </c>
      <c r="C5" s="85">
        <v>23</v>
      </c>
      <c r="D5" s="86">
        <v>2</v>
      </c>
      <c r="E5" s="87">
        <v>63.5</v>
      </c>
      <c r="F5" s="88">
        <v>0.3</v>
      </c>
      <c r="G5" s="73">
        <v>0.08</v>
      </c>
      <c r="H5" s="87">
        <v>8.5</v>
      </c>
      <c r="I5" s="89">
        <v>40</v>
      </c>
      <c r="J5" s="81">
        <v>35.6</v>
      </c>
      <c r="K5" s="90">
        <v>3.6</v>
      </c>
      <c r="L5" s="83" t="s">
        <v>160</v>
      </c>
    </row>
    <row r="6" spans="1:12" ht="24" customHeight="1" x14ac:dyDescent="0.3">
      <c r="A6" s="75" t="s">
        <v>42</v>
      </c>
      <c r="B6" s="72">
        <v>0.11</v>
      </c>
      <c r="C6" s="76">
        <v>24</v>
      </c>
      <c r="D6" s="77">
        <v>1</v>
      </c>
      <c r="E6" s="78">
        <v>88.5</v>
      </c>
      <c r="F6" s="79">
        <v>0.53</v>
      </c>
      <c r="G6" s="72">
        <v>5.55</v>
      </c>
      <c r="H6" s="78">
        <v>23</v>
      </c>
      <c r="I6" s="80">
        <v>80</v>
      </c>
      <c r="J6" s="91">
        <v>60.2</v>
      </c>
      <c r="K6" s="82">
        <v>6</v>
      </c>
      <c r="L6" s="92" t="s">
        <v>161</v>
      </c>
    </row>
    <row r="7" spans="1:12" ht="24" customHeight="1" x14ac:dyDescent="0.3">
      <c r="A7" s="84" t="s">
        <v>38</v>
      </c>
      <c r="B7" s="73">
        <v>18</v>
      </c>
      <c r="C7" s="85">
        <v>186</v>
      </c>
      <c r="D7" s="86">
        <v>2</v>
      </c>
      <c r="E7" s="87">
        <v>29</v>
      </c>
      <c r="F7" s="88">
        <v>0.77</v>
      </c>
      <c r="G7" s="73">
        <v>3.07</v>
      </c>
      <c r="H7" s="87">
        <v>18.5</v>
      </c>
      <c r="I7" s="89">
        <v>80</v>
      </c>
      <c r="J7" s="81">
        <v>37.5</v>
      </c>
      <c r="K7" s="90">
        <v>3.8</v>
      </c>
      <c r="L7" s="83" t="s">
        <v>160</v>
      </c>
    </row>
    <row r="8" spans="1:12" ht="24" customHeight="1" x14ac:dyDescent="0.3">
      <c r="A8" s="75" t="s">
        <v>45</v>
      </c>
      <c r="B8" s="72">
        <v>0.06</v>
      </c>
      <c r="C8" s="76">
        <v>12.5</v>
      </c>
      <c r="D8" s="77">
        <v>1</v>
      </c>
      <c r="E8" s="78">
        <v>96</v>
      </c>
      <c r="F8" s="79">
        <v>0.41</v>
      </c>
      <c r="G8" s="72">
        <v>1.9</v>
      </c>
      <c r="H8" s="78">
        <v>8.5</v>
      </c>
      <c r="I8" s="80">
        <v>60</v>
      </c>
      <c r="J8" s="93">
        <v>52</v>
      </c>
      <c r="K8" s="82">
        <v>5.2</v>
      </c>
      <c r="L8" s="94" t="s">
        <v>162</v>
      </c>
    </row>
    <row r="9" spans="1:12" ht="24" customHeight="1" x14ac:dyDescent="0.3">
      <c r="A9" s="84" t="s">
        <v>40</v>
      </c>
      <c r="B9" s="73">
        <v>0.38</v>
      </c>
      <c r="C9" s="85">
        <v>27</v>
      </c>
      <c r="D9" s="86">
        <v>1</v>
      </c>
      <c r="E9" s="87">
        <v>75</v>
      </c>
      <c r="F9" s="88">
        <v>0.85</v>
      </c>
      <c r="G9" s="73">
        <v>2.19</v>
      </c>
      <c r="H9" s="87">
        <v>18.5</v>
      </c>
      <c r="I9" s="89">
        <v>100</v>
      </c>
      <c r="J9" s="93">
        <v>58.6</v>
      </c>
      <c r="K9" s="90">
        <v>5.9</v>
      </c>
      <c r="L9" s="94" t="s">
        <v>162</v>
      </c>
    </row>
    <row r="10" spans="1:12" ht="24" customHeight="1" x14ac:dyDescent="0.3">
      <c r="A10" s="75" t="s">
        <v>51</v>
      </c>
      <c r="B10" s="72">
        <v>7</v>
      </c>
      <c r="C10" s="76">
        <v>300</v>
      </c>
      <c r="D10" s="77">
        <v>2</v>
      </c>
      <c r="E10" s="78">
        <v>36.5</v>
      </c>
      <c r="F10" s="79">
        <v>0.85</v>
      </c>
      <c r="G10" s="72">
        <v>0.24</v>
      </c>
      <c r="H10" s="78">
        <v>15.5</v>
      </c>
      <c r="I10" s="80">
        <v>20</v>
      </c>
      <c r="J10" s="81">
        <v>24</v>
      </c>
      <c r="K10" s="82">
        <v>2.4</v>
      </c>
      <c r="L10" s="83" t="s">
        <v>160</v>
      </c>
    </row>
    <row r="11" spans="1:12" ht="24" customHeight="1" x14ac:dyDescent="0.3">
      <c r="A11" s="84" t="s">
        <v>41</v>
      </c>
      <c r="B11" s="73"/>
      <c r="C11" s="85"/>
      <c r="D11" s="86">
        <v>4</v>
      </c>
      <c r="E11" s="87">
        <v>0</v>
      </c>
      <c r="F11" s="88">
        <v>2.5</v>
      </c>
      <c r="G11" s="73">
        <v>2.13</v>
      </c>
      <c r="H11" s="87">
        <v>39.5</v>
      </c>
      <c r="I11" s="89">
        <v>10</v>
      </c>
      <c r="J11" s="95">
        <v>18.3</v>
      </c>
      <c r="K11" s="90">
        <v>1.8</v>
      </c>
      <c r="L11" s="96" t="s">
        <v>163</v>
      </c>
    </row>
    <row r="12" spans="1:12" ht="24" customHeight="1" x14ac:dyDescent="0.3">
      <c r="A12" s="75" t="s">
        <v>54</v>
      </c>
      <c r="B12" s="72">
        <v>2</v>
      </c>
      <c r="C12" s="76">
        <v>7</v>
      </c>
      <c r="D12" s="77">
        <v>2</v>
      </c>
      <c r="E12" s="78">
        <v>71</v>
      </c>
      <c r="F12" s="79">
        <v>0.5</v>
      </c>
      <c r="G12" s="72">
        <v>1.67</v>
      </c>
      <c r="H12" s="78">
        <v>8.5</v>
      </c>
      <c r="I12" s="80">
        <v>100</v>
      </c>
      <c r="J12" s="93">
        <v>53.2</v>
      </c>
      <c r="K12" s="82">
        <v>5.3</v>
      </c>
      <c r="L12" s="94" t="s">
        <v>162</v>
      </c>
    </row>
    <row r="13" spans="1:12" ht="24" customHeight="1" x14ac:dyDescent="0.3">
      <c r="A13" s="84" t="s">
        <v>52</v>
      </c>
      <c r="B13" s="73">
        <v>70</v>
      </c>
      <c r="C13" s="85">
        <v>70</v>
      </c>
      <c r="D13" s="86">
        <v>2</v>
      </c>
      <c r="E13" s="87">
        <v>18.5</v>
      </c>
      <c r="F13" s="88">
        <v>1.65</v>
      </c>
      <c r="G13" s="73">
        <v>5.57</v>
      </c>
      <c r="H13" s="87">
        <v>37</v>
      </c>
      <c r="I13" s="89">
        <v>35</v>
      </c>
      <c r="J13" s="81">
        <v>30</v>
      </c>
      <c r="K13" s="90">
        <v>3</v>
      </c>
      <c r="L13" s="83" t="s">
        <v>160</v>
      </c>
    </row>
    <row r="14" spans="1:12" ht="24" customHeight="1" x14ac:dyDescent="0.3">
      <c r="A14" s="75" t="s">
        <v>48</v>
      </c>
      <c r="B14" s="72">
        <v>25</v>
      </c>
      <c r="C14" s="76">
        <v>90</v>
      </c>
      <c r="D14" s="77">
        <v>2</v>
      </c>
      <c r="E14" s="78">
        <v>26</v>
      </c>
      <c r="F14" s="79">
        <v>1.06</v>
      </c>
      <c r="G14" s="72">
        <v>1.53</v>
      </c>
      <c r="H14" s="78">
        <v>22.5</v>
      </c>
      <c r="I14" s="80">
        <v>35</v>
      </c>
      <c r="J14" s="81">
        <v>26.9</v>
      </c>
      <c r="K14" s="82">
        <v>2.7</v>
      </c>
      <c r="L14" s="83" t="s">
        <v>160</v>
      </c>
    </row>
    <row r="15" spans="1:12" ht="24" customHeight="1" x14ac:dyDescent="0.3">
      <c r="A15" s="84" t="s">
        <v>53</v>
      </c>
      <c r="B15" s="73">
        <v>11</v>
      </c>
      <c r="C15" s="85">
        <v>250</v>
      </c>
      <c r="D15" s="86">
        <v>2</v>
      </c>
      <c r="E15" s="87">
        <v>29</v>
      </c>
      <c r="F15" s="88">
        <v>0.93</v>
      </c>
      <c r="G15" s="73">
        <v>2.2000000000000002</v>
      </c>
      <c r="H15" s="87">
        <v>18.5</v>
      </c>
      <c r="I15" s="89">
        <v>30</v>
      </c>
      <c r="J15" s="81">
        <v>25</v>
      </c>
      <c r="K15" s="90">
        <v>2.5</v>
      </c>
      <c r="L15" s="83" t="s">
        <v>160</v>
      </c>
    </row>
    <row r="16" spans="1:12" ht="24" customHeight="1" x14ac:dyDescent="0.3">
      <c r="A16" s="75" t="s">
        <v>49</v>
      </c>
      <c r="B16" s="72">
        <v>15</v>
      </c>
      <c r="C16" s="76">
        <v>20</v>
      </c>
      <c r="D16" s="77">
        <v>2</v>
      </c>
      <c r="E16" s="78">
        <v>48.5</v>
      </c>
      <c r="F16" s="79">
        <v>0.4</v>
      </c>
      <c r="G16" s="72">
        <v>0.54</v>
      </c>
      <c r="H16" s="78">
        <v>8.5</v>
      </c>
      <c r="I16" s="80">
        <v>30</v>
      </c>
      <c r="J16" s="81">
        <v>27.9</v>
      </c>
      <c r="K16" s="82">
        <v>2.8</v>
      </c>
      <c r="L16" s="83" t="s">
        <v>160</v>
      </c>
    </row>
    <row r="17" spans="1:12" ht="24" customHeight="1" x14ac:dyDescent="0.3">
      <c r="A17" s="84" t="s">
        <v>44</v>
      </c>
      <c r="B17" s="73">
        <v>90</v>
      </c>
      <c r="C17" s="85">
        <v>150</v>
      </c>
      <c r="D17" s="86">
        <v>2</v>
      </c>
      <c r="E17" s="87">
        <v>14</v>
      </c>
      <c r="F17" s="88">
        <v>0.74</v>
      </c>
      <c r="G17" s="73">
        <v>3.1</v>
      </c>
      <c r="H17" s="87">
        <v>18.5</v>
      </c>
      <c r="I17" s="89">
        <v>25</v>
      </c>
      <c r="J17" s="95">
        <v>18.600000000000001</v>
      </c>
      <c r="K17" s="90">
        <v>1.9</v>
      </c>
      <c r="L17" s="96" t="s">
        <v>163</v>
      </c>
    </row>
    <row r="18" spans="1:12" ht="24" customHeight="1" x14ac:dyDescent="0.3">
      <c r="A18" s="75" t="s">
        <v>43</v>
      </c>
      <c r="B18" s="72">
        <v>50</v>
      </c>
      <c r="C18" s="76"/>
      <c r="D18" s="77">
        <v>2</v>
      </c>
      <c r="E18" s="78">
        <v>11</v>
      </c>
      <c r="F18" s="79">
        <v>1.1100000000000001</v>
      </c>
      <c r="G18" s="72">
        <v>5.51</v>
      </c>
      <c r="H18" s="78">
        <v>30</v>
      </c>
      <c r="I18" s="80">
        <v>35</v>
      </c>
      <c r="J18" s="81">
        <v>24.6</v>
      </c>
      <c r="K18" s="82">
        <v>2.5</v>
      </c>
      <c r="L18" s="83" t="s">
        <v>160</v>
      </c>
    </row>
    <row r="19" spans="1:12" ht="24" customHeight="1" x14ac:dyDescent="0.3">
      <c r="A19" s="84" t="s">
        <v>50</v>
      </c>
      <c r="B19" s="73">
        <v>1.4</v>
      </c>
      <c r="C19" s="85">
        <v>20</v>
      </c>
      <c r="D19" s="86">
        <v>1</v>
      </c>
      <c r="E19" s="87">
        <v>73.5</v>
      </c>
      <c r="F19" s="88">
        <v>0.84</v>
      </c>
      <c r="G19" s="73">
        <v>5.37</v>
      </c>
      <c r="H19" s="87">
        <v>23</v>
      </c>
      <c r="I19" s="89">
        <v>20</v>
      </c>
      <c r="J19" s="81">
        <v>39.9</v>
      </c>
      <c r="K19" s="90">
        <v>4</v>
      </c>
      <c r="L19" s="83" t="s">
        <v>160</v>
      </c>
    </row>
    <row r="20" spans="1:12" ht="24" customHeight="1" x14ac:dyDescent="0.3">
      <c r="A20" s="75" t="s">
        <v>46</v>
      </c>
      <c r="B20" s="72"/>
      <c r="C20" s="76"/>
      <c r="D20" s="77">
        <v>4</v>
      </c>
      <c r="E20" s="78">
        <v>0</v>
      </c>
      <c r="F20" s="79">
        <v>2.7</v>
      </c>
      <c r="G20" s="72">
        <v>7.15</v>
      </c>
      <c r="H20" s="78">
        <v>57</v>
      </c>
      <c r="I20" s="80">
        <v>20</v>
      </c>
      <c r="J20" s="81">
        <v>27.8</v>
      </c>
      <c r="K20" s="82">
        <v>2.8</v>
      </c>
      <c r="L20" s="83" t="s">
        <v>160</v>
      </c>
    </row>
    <row r="21" spans="1:12" ht="24" customHeight="1" x14ac:dyDescent="0.3">
      <c r="A21" s="84" t="s">
        <v>39</v>
      </c>
      <c r="B21" s="73">
        <v>50</v>
      </c>
      <c r="C21" s="85">
        <v>15</v>
      </c>
      <c r="D21" s="86">
        <v>1</v>
      </c>
      <c r="E21" s="87">
        <v>43.5</v>
      </c>
      <c r="F21" s="88">
        <v>0.54</v>
      </c>
      <c r="G21" s="73">
        <v>0.73</v>
      </c>
      <c r="H21" s="87">
        <v>15.5</v>
      </c>
      <c r="I21" s="89">
        <v>60</v>
      </c>
      <c r="J21" s="81">
        <v>36.4</v>
      </c>
      <c r="K21" s="90">
        <v>3.6</v>
      </c>
      <c r="L21" s="83" t="s">
        <v>160</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16A085"/>
  </sheetPr>
  <dimension ref="A1:N68"/>
  <sheetViews>
    <sheetView showGridLines="0" zoomScaleNormal="100" workbookViewId="0">
      <pane xSplit="1" ySplit="3" topLeftCell="B58" activePane="bottomRight" state="frozen"/>
      <selection pane="topRight" activeCell="B1" sqref="B1"/>
      <selection pane="bottomLeft" activeCell="A4" sqref="A4"/>
      <selection pane="bottomRight" activeCell="L55" sqref="L55"/>
    </sheetView>
  </sheetViews>
  <sheetFormatPr defaultColWidth="8.6640625" defaultRowHeight="14.4" x14ac:dyDescent="0.3"/>
  <cols>
    <col min="1" max="1" width="22" customWidth="1"/>
    <col min="2" max="2" width="7" customWidth="1"/>
    <col min="3" max="6" width="11" customWidth="1"/>
    <col min="7" max="11" width="7" customWidth="1"/>
    <col min="12" max="12" width="8" customWidth="1"/>
    <col min="13" max="13" width="10" customWidth="1"/>
    <col min="14" max="14" width="11" customWidth="1"/>
  </cols>
  <sheetData>
    <row r="1" spans="1:14" ht="31.5" customHeight="1" x14ac:dyDescent="0.3">
      <c r="A1" s="130" t="s">
        <v>164</v>
      </c>
      <c r="B1" s="118"/>
      <c r="C1" s="118"/>
      <c r="D1" s="118"/>
      <c r="E1" s="118"/>
      <c r="F1" s="118"/>
      <c r="G1" s="118"/>
      <c r="H1" s="118"/>
      <c r="I1" s="118"/>
      <c r="J1" s="118"/>
      <c r="K1" s="118"/>
      <c r="L1" s="118"/>
      <c r="M1" s="118"/>
      <c r="N1" s="118"/>
    </row>
    <row r="2" spans="1:14" ht="19.5" customHeight="1" x14ac:dyDescent="0.3">
      <c r="A2" s="129" t="s">
        <v>165</v>
      </c>
      <c r="B2" s="118"/>
      <c r="C2" s="118"/>
      <c r="D2" s="118"/>
      <c r="E2" s="118"/>
      <c r="F2" s="118"/>
      <c r="G2" s="118"/>
      <c r="H2" s="118"/>
      <c r="I2" s="118"/>
      <c r="J2" s="118"/>
      <c r="K2" s="118"/>
      <c r="L2" s="118"/>
      <c r="M2" s="118"/>
      <c r="N2" s="118"/>
    </row>
    <row r="3" spans="1:14" ht="31.5" customHeight="1" x14ac:dyDescent="0.3">
      <c r="A3" s="30" t="s">
        <v>166</v>
      </c>
      <c r="B3" s="30" t="s">
        <v>167</v>
      </c>
      <c r="C3" s="30" t="s">
        <v>168</v>
      </c>
      <c r="D3" s="30" t="s">
        <v>169</v>
      </c>
      <c r="E3" s="30" t="s">
        <v>170</v>
      </c>
      <c r="F3" s="30" t="s">
        <v>171</v>
      </c>
      <c r="G3" s="30" t="s">
        <v>172</v>
      </c>
      <c r="H3" s="30" t="s">
        <v>173</v>
      </c>
      <c r="I3" s="30" t="s">
        <v>174</v>
      </c>
      <c r="J3" s="30" t="s">
        <v>175</v>
      </c>
      <c r="K3" s="30" t="s">
        <v>176</v>
      </c>
      <c r="L3" s="30" t="s">
        <v>177</v>
      </c>
      <c r="M3" s="30" t="s">
        <v>178</v>
      </c>
      <c r="N3" s="30" t="s">
        <v>6</v>
      </c>
    </row>
    <row r="4" spans="1:14" ht="21.75" customHeight="1" x14ac:dyDescent="0.3">
      <c r="A4" s="17" t="s">
        <v>179</v>
      </c>
      <c r="B4" s="37" t="s">
        <v>180</v>
      </c>
      <c r="C4" s="66">
        <v>96</v>
      </c>
      <c r="D4" s="66">
        <v>19</v>
      </c>
      <c r="E4" s="66">
        <v>53</v>
      </c>
      <c r="F4" s="66">
        <v>8</v>
      </c>
      <c r="G4" s="39">
        <v>78.5</v>
      </c>
      <c r="H4" s="40">
        <v>41.3</v>
      </c>
      <c r="I4" s="40">
        <v>49.2</v>
      </c>
      <c r="J4" s="39">
        <v>67.400000000000006</v>
      </c>
      <c r="K4" s="39">
        <v>68.2</v>
      </c>
      <c r="L4" s="41">
        <v>26.9</v>
      </c>
      <c r="M4" s="42">
        <v>56.1</v>
      </c>
      <c r="N4" s="28" t="s">
        <v>162</v>
      </c>
    </row>
    <row r="5" spans="1:14" ht="21.75" customHeight="1" x14ac:dyDescent="0.3">
      <c r="A5" s="13" t="s">
        <v>130</v>
      </c>
      <c r="B5" s="43" t="s">
        <v>181</v>
      </c>
      <c r="C5" s="67">
        <v>1819</v>
      </c>
      <c r="D5" s="67">
        <v>531</v>
      </c>
      <c r="E5" s="67">
        <v>9</v>
      </c>
      <c r="F5" s="67">
        <v>2</v>
      </c>
      <c r="G5" s="40">
        <v>52.8</v>
      </c>
      <c r="H5" s="41">
        <v>38.5</v>
      </c>
      <c r="I5" s="45">
        <v>16.8</v>
      </c>
      <c r="J5" s="40">
        <v>42.8</v>
      </c>
      <c r="K5" s="41">
        <v>22.2</v>
      </c>
      <c r="L5" s="45">
        <v>19.2</v>
      </c>
      <c r="M5" s="46">
        <v>32.299999999999997</v>
      </c>
      <c r="N5" s="29" t="s">
        <v>160</v>
      </c>
    </row>
    <row r="6" spans="1:14" ht="21.75" customHeight="1" x14ac:dyDescent="0.3">
      <c r="A6" s="17" t="s">
        <v>111</v>
      </c>
      <c r="B6" s="37" t="s">
        <v>182</v>
      </c>
      <c r="C6" s="66">
        <v>723</v>
      </c>
      <c r="D6" s="66">
        <v>98</v>
      </c>
      <c r="E6" s="38">
        <v>16</v>
      </c>
      <c r="F6" s="66">
        <v>0</v>
      </c>
      <c r="G6" s="45">
        <v>9</v>
      </c>
      <c r="H6" s="45">
        <v>13</v>
      </c>
      <c r="I6" s="45">
        <v>16.2</v>
      </c>
      <c r="J6" s="45">
        <v>5.8</v>
      </c>
      <c r="K6" s="45">
        <v>19.2</v>
      </c>
      <c r="L6" s="45">
        <v>2.8</v>
      </c>
      <c r="M6" s="47">
        <v>11.2</v>
      </c>
      <c r="N6" s="48" t="s">
        <v>163</v>
      </c>
    </row>
    <row r="7" spans="1:14" ht="21.75" customHeight="1" x14ac:dyDescent="0.3">
      <c r="A7" s="13" t="s">
        <v>183</v>
      </c>
      <c r="B7" s="43" t="s">
        <v>184</v>
      </c>
      <c r="C7" s="44">
        <v>11</v>
      </c>
      <c r="D7" s="67">
        <v>0</v>
      </c>
      <c r="E7" s="44">
        <v>0</v>
      </c>
      <c r="F7" s="67">
        <v>1</v>
      </c>
      <c r="G7" s="41">
        <v>36.1</v>
      </c>
      <c r="H7" s="41">
        <v>32.200000000000003</v>
      </c>
      <c r="I7" s="41">
        <v>24.4</v>
      </c>
      <c r="J7" s="45">
        <v>18.2</v>
      </c>
      <c r="K7" s="41">
        <v>37.200000000000003</v>
      </c>
      <c r="L7" s="45">
        <v>8.8000000000000007</v>
      </c>
      <c r="M7" s="46">
        <v>26.6</v>
      </c>
      <c r="N7" s="29" t="s">
        <v>160</v>
      </c>
    </row>
    <row r="8" spans="1:14" ht="21.75" customHeight="1" x14ac:dyDescent="0.3">
      <c r="A8" s="17" t="s">
        <v>185</v>
      </c>
      <c r="B8" s="37" t="s">
        <v>186</v>
      </c>
      <c r="C8" s="66">
        <v>945</v>
      </c>
      <c r="D8" s="66">
        <v>388</v>
      </c>
      <c r="E8" s="66">
        <v>3</v>
      </c>
      <c r="F8" s="66">
        <v>11</v>
      </c>
      <c r="G8" s="39">
        <v>70.900000000000006</v>
      </c>
      <c r="H8" s="41">
        <v>34.1</v>
      </c>
      <c r="I8" s="41">
        <v>27.6</v>
      </c>
      <c r="J8" s="39">
        <v>60.8</v>
      </c>
      <c r="K8" s="41">
        <v>36.799999999999997</v>
      </c>
      <c r="L8" s="45">
        <v>12</v>
      </c>
      <c r="M8" s="42">
        <v>41.3</v>
      </c>
      <c r="N8" s="28" t="s">
        <v>162</v>
      </c>
    </row>
    <row r="9" spans="1:14" ht="21.75" customHeight="1" x14ac:dyDescent="0.3">
      <c r="A9" s="13" t="s">
        <v>187</v>
      </c>
      <c r="B9" s="43" t="s">
        <v>188</v>
      </c>
      <c r="C9" s="67">
        <v>797</v>
      </c>
      <c r="D9" s="67">
        <v>96</v>
      </c>
      <c r="E9" s="67">
        <v>0</v>
      </c>
      <c r="F9" s="67">
        <v>1</v>
      </c>
      <c r="G9" s="40">
        <v>46.6</v>
      </c>
      <c r="H9" s="45">
        <v>16.5</v>
      </c>
      <c r="I9" s="45">
        <v>15.5</v>
      </c>
      <c r="J9" s="41">
        <v>37.4</v>
      </c>
      <c r="K9" s="45">
        <v>17.5</v>
      </c>
      <c r="L9" s="45">
        <v>14.2</v>
      </c>
      <c r="M9" s="46">
        <v>25.3</v>
      </c>
      <c r="N9" s="29" t="s">
        <v>160</v>
      </c>
    </row>
    <row r="10" spans="1:14" ht="21.75" customHeight="1" x14ac:dyDescent="0.3">
      <c r="A10" s="17" t="s">
        <v>189</v>
      </c>
      <c r="B10" s="37" t="s">
        <v>190</v>
      </c>
      <c r="C10" s="66">
        <v>1472</v>
      </c>
      <c r="D10" s="66">
        <v>314</v>
      </c>
      <c r="E10" s="66">
        <v>7</v>
      </c>
      <c r="F10" s="66">
        <v>2</v>
      </c>
      <c r="G10" s="45">
        <v>10.6</v>
      </c>
      <c r="H10" s="41">
        <v>32.799999999999997</v>
      </c>
      <c r="I10" s="45">
        <v>14.8</v>
      </c>
      <c r="J10" s="45">
        <v>6</v>
      </c>
      <c r="K10" s="45">
        <v>17.5</v>
      </c>
      <c r="L10" s="45">
        <v>5</v>
      </c>
      <c r="M10" s="47">
        <v>14.3</v>
      </c>
      <c r="N10" s="48" t="s">
        <v>163</v>
      </c>
    </row>
    <row r="11" spans="1:14" ht="21.75" customHeight="1" x14ac:dyDescent="0.3">
      <c r="A11" s="13" t="s">
        <v>126</v>
      </c>
      <c r="B11" s="43" t="s">
        <v>191</v>
      </c>
      <c r="C11" s="67">
        <v>1281</v>
      </c>
      <c r="D11" s="67">
        <v>279</v>
      </c>
      <c r="E11" s="67">
        <v>12</v>
      </c>
      <c r="F11" s="67">
        <v>47</v>
      </c>
      <c r="G11" s="41">
        <v>25.2</v>
      </c>
      <c r="H11" s="41">
        <v>29.1</v>
      </c>
      <c r="I11" s="40">
        <v>43.6</v>
      </c>
      <c r="J11" s="41">
        <v>35.200000000000003</v>
      </c>
      <c r="K11" s="40">
        <v>40.6</v>
      </c>
      <c r="L11" s="45">
        <v>15.8</v>
      </c>
      <c r="M11" s="46">
        <v>31.9</v>
      </c>
      <c r="N11" s="29" t="s">
        <v>160</v>
      </c>
    </row>
    <row r="12" spans="1:14" ht="21.75" customHeight="1" x14ac:dyDescent="0.3">
      <c r="A12" s="17" t="s">
        <v>192</v>
      </c>
      <c r="B12" s="37" t="s">
        <v>193</v>
      </c>
      <c r="C12" s="66">
        <v>1576</v>
      </c>
      <c r="D12" s="66">
        <v>302</v>
      </c>
      <c r="E12" s="66">
        <v>2</v>
      </c>
      <c r="F12" s="66">
        <v>165</v>
      </c>
      <c r="G12" s="39">
        <v>78.5</v>
      </c>
      <c r="H12" s="41">
        <v>34.200000000000003</v>
      </c>
      <c r="I12" s="41">
        <v>33.1</v>
      </c>
      <c r="J12" s="39">
        <v>63.4</v>
      </c>
      <c r="K12" s="41">
        <v>38.700000000000003</v>
      </c>
      <c r="L12" s="45">
        <v>18.8</v>
      </c>
      <c r="M12" s="42">
        <v>45.6</v>
      </c>
      <c r="N12" s="28" t="s">
        <v>162</v>
      </c>
    </row>
    <row r="13" spans="1:14" ht="21.75" customHeight="1" x14ac:dyDescent="0.3">
      <c r="A13" s="13" t="s">
        <v>194</v>
      </c>
      <c r="B13" s="43" t="s">
        <v>195</v>
      </c>
      <c r="C13" s="67">
        <v>5681</v>
      </c>
      <c r="D13" s="67">
        <v>1224</v>
      </c>
      <c r="E13" s="67">
        <v>2193</v>
      </c>
      <c r="F13" s="67">
        <v>1235</v>
      </c>
      <c r="G13" s="40">
        <v>56.3</v>
      </c>
      <c r="H13" s="41">
        <v>38.9</v>
      </c>
      <c r="I13" s="39">
        <v>70.2</v>
      </c>
      <c r="J13" s="39">
        <v>74.5</v>
      </c>
      <c r="K13" s="39">
        <v>64.400000000000006</v>
      </c>
      <c r="L13" s="41">
        <v>22.7</v>
      </c>
      <c r="M13" s="42">
        <v>55.4</v>
      </c>
      <c r="N13" s="28" t="s">
        <v>162</v>
      </c>
    </row>
    <row r="14" spans="1:14" ht="21.75" customHeight="1" x14ac:dyDescent="0.3">
      <c r="A14" s="17" t="s">
        <v>196</v>
      </c>
      <c r="B14" s="37" t="s">
        <v>197</v>
      </c>
      <c r="C14" s="66">
        <v>127</v>
      </c>
      <c r="D14" s="66">
        <v>39</v>
      </c>
      <c r="E14" s="66">
        <v>2</v>
      </c>
      <c r="F14" s="66">
        <v>9</v>
      </c>
      <c r="G14" s="41">
        <v>25.7</v>
      </c>
      <c r="H14" s="41">
        <v>34.299999999999997</v>
      </c>
      <c r="I14" s="41">
        <v>31.1</v>
      </c>
      <c r="J14" s="45">
        <v>13.6</v>
      </c>
      <c r="K14" s="40">
        <v>44.4</v>
      </c>
      <c r="L14" s="45">
        <v>15.8</v>
      </c>
      <c r="M14" s="46">
        <v>27.6</v>
      </c>
      <c r="N14" s="29" t="s">
        <v>160</v>
      </c>
    </row>
    <row r="15" spans="1:14" ht="21.75" customHeight="1" x14ac:dyDescent="0.3">
      <c r="A15" s="13" t="s">
        <v>198</v>
      </c>
      <c r="B15" s="43" t="s">
        <v>199</v>
      </c>
      <c r="C15" s="67">
        <v>323</v>
      </c>
      <c r="D15" s="67">
        <v>172</v>
      </c>
      <c r="E15" s="44">
        <v>14</v>
      </c>
      <c r="F15" s="67">
        <v>38</v>
      </c>
      <c r="G15" s="39">
        <v>77.2</v>
      </c>
      <c r="H15" s="45">
        <v>2.9</v>
      </c>
      <c r="I15" s="40">
        <v>43.8</v>
      </c>
      <c r="J15" s="40">
        <v>40.9</v>
      </c>
      <c r="K15" s="40">
        <v>49.9</v>
      </c>
      <c r="L15" s="45">
        <v>0</v>
      </c>
      <c r="M15" s="46">
        <v>38.299999999999997</v>
      </c>
      <c r="N15" s="29" t="s">
        <v>160</v>
      </c>
    </row>
    <row r="16" spans="1:14" ht="21.75" customHeight="1" x14ac:dyDescent="0.3">
      <c r="A16" s="17" t="s">
        <v>200</v>
      </c>
      <c r="B16" s="37" t="s">
        <v>201</v>
      </c>
      <c r="C16" s="66">
        <v>298</v>
      </c>
      <c r="D16" s="66">
        <v>51</v>
      </c>
      <c r="E16" s="38">
        <v>0</v>
      </c>
      <c r="F16" s="66">
        <v>0</v>
      </c>
      <c r="G16" s="45">
        <v>0.2</v>
      </c>
      <c r="H16" s="45">
        <v>11.9</v>
      </c>
      <c r="I16" s="45">
        <v>8.9</v>
      </c>
      <c r="J16" s="45">
        <v>5.2</v>
      </c>
      <c r="K16" s="45">
        <v>16.5</v>
      </c>
      <c r="L16" s="45">
        <v>1.8</v>
      </c>
      <c r="M16" s="47">
        <v>7.1</v>
      </c>
      <c r="N16" s="48" t="s">
        <v>163</v>
      </c>
    </row>
    <row r="17" spans="1:14" ht="21.75" customHeight="1" x14ac:dyDescent="0.3">
      <c r="A17" s="13" t="s">
        <v>202</v>
      </c>
      <c r="B17" s="43" t="s">
        <v>203</v>
      </c>
      <c r="C17" s="67">
        <v>7</v>
      </c>
      <c r="D17" s="67">
        <v>2</v>
      </c>
      <c r="E17" s="67">
        <v>4</v>
      </c>
      <c r="F17" s="67">
        <v>1</v>
      </c>
      <c r="G17" s="39">
        <v>78.5</v>
      </c>
      <c r="H17" s="49">
        <v>80.900000000000006</v>
      </c>
      <c r="I17" s="41">
        <v>27.7</v>
      </c>
      <c r="J17" s="39">
        <v>73.400000000000006</v>
      </c>
      <c r="K17" s="41">
        <v>37.200000000000003</v>
      </c>
      <c r="L17" s="39">
        <v>61.8</v>
      </c>
      <c r="M17" s="42">
        <v>59.2</v>
      </c>
      <c r="N17" s="28" t="s">
        <v>162</v>
      </c>
    </row>
    <row r="18" spans="1:14" ht="21.75" customHeight="1" x14ac:dyDescent="0.3">
      <c r="A18" s="17" t="s">
        <v>204</v>
      </c>
      <c r="B18" s="37" t="s">
        <v>205</v>
      </c>
      <c r="C18" s="66">
        <v>242</v>
      </c>
      <c r="D18" s="66">
        <v>40</v>
      </c>
      <c r="E18" s="66">
        <v>27</v>
      </c>
      <c r="F18" s="66">
        <v>18</v>
      </c>
      <c r="G18" s="40">
        <v>48.8</v>
      </c>
      <c r="H18" s="41">
        <v>27.6</v>
      </c>
      <c r="I18" s="41">
        <v>28.4</v>
      </c>
      <c r="J18" s="40">
        <v>43.6</v>
      </c>
      <c r="K18" s="41">
        <v>26.9</v>
      </c>
      <c r="L18" s="41">
        <v>22.3</v>
      </c>
      <c r="M18" s="46">
        <v>33.5</v>
      </c>
      <c r="N18" s="29" t="s">
        <v>160</v>
      </c>
    </row>
    <row r="19" spans="1:14" ht="21.75" customHeight="1" x14ac:dyDescent="0.3">
      <c r="A19" s="13" t="s">
        <v>69</v>
      </c>
      <c r="B19" s="43" t="s">
        <v>206</v>
      </c>
      <c r="C19" s="67">
        <v>262</v>
      </c>
      <c r="D19" s="67">
        <v>28</v>
      </c>
      <c r="E19" s="67">
        <v>42</v>
      </c>
      <c r="F19" s="67">
        <v>29</v>
      </c>
      <c r="G19" s="49">
        <v>91.1</v>
      </c>
      <c r="H19" s="40">
        <v>46</v>
      </c>
      <c r="I19" s="41">
        <v>36.5</v>
      </c>
      <c r="J19" s="39">
        <v>78</v>
      </c>
      <c r="K19" s="41">
        <v>25.1</v>
      </c>
      <c r="L19" s="41">
        <v>32.200000000000003</v>
      </c>
      <c r="M19" s="42">
        <v>52.7</v>
      </c>
      <c r="N19" s="28" t="s">
        <v>162</v>
      </c>
    </row>
    <row r="20" spans="1:14" ht="21.75" customHeight="1" x14ac:dyDescent="0.3">
      <c r="A20" s="17" t="s">
        <v>207</v>
      </c>
      <c r="B20" s="37" t="s">
        <v>208</v>
      </c>
      <c r="C20" s="66">
        <v>15</v>
      </c>
      <c r="D20" s="66">
        <v>2</v>
      </c>
      <c r="E20" s="66">
        <v>1</v>
      </c>
      <c r="F20" s="66">
        <v>1</v>
      </c>
      <c r="G20" s="49">
        <v>99.9</v>
      </c>
      <c r="H20" s="40">
        <v>59.4</v>
      </c>
      <c r="I20" s="41">
        <v>38.5</v>
      </c>
      <c r="J20" s="49">
        <v>84.8</v>
      </c>
      <c r="K20" s="41">
        <v>33.799999999999997</v>
      </c>
      <c r="L20" s="39">
        <v>78.900000000000006</v>
      </c>
      <c r="M20" s="50">
        <v>66.2</v>
      </c>
      <c r="N20" s="24" t="s">
        <v>161</v>
      </c>
    </row>
    <row r="21" spans="1:14" ht="21.75" customHeight="1" x14ac:dyDescent="0.3">
      <c r="A21" s="13" t="s">
        <v>209</v>
      </c>
      <c r="B21" s="43" t="s">
        <v>210</v>
      </c>
      <c r="C21" s="67">
        <v>3033</v>
      </c>
      <c r="D21" s="67">
        <v>546</v>
      </c>
      <c r="E21" s="67">
        <v>7078</v>
      </c>
      <c r="F21" s="67">
        <v>534</v>
      </c>
      <c r="G21" s="49">
        <v>83.2</v>
      </c>
      <c r="H21" s="41">
        <v>37.4</v>
      </c>
      <c r="I21" s="40">
        <v>45</v>
      </c>
      <c r="J21" s="49">
        <v>95</v>
      </c>
      <c r="K21" s="40">
        <v>55.2</v>
      </c>
      <c r="L21" s="49">
        <v>84.6</v>
      </c>
      <c r="M21" s="50">
        <v>66.5</v>
      </c>
      <c r="N21" s="24" t="s">
        <v>161</v>
      </c>
    </row>
    <row r="22" spans="1:14" ht="21.75" customHeight="1" x14ac:dyDescent="0.3">
      <c r="A22" s="17" t="s">
        <v>211</v>
      </c>
      <c r="B22" s="37" t="s">
        <v>212</v>
      </c>
      <c r="C22" s="66">
        <v>249</v>
      </c>
      <c r="D22" s="66">
        <v>45</v>
      </c>
      <c r="E22" s="38">
        <v>0</v>
      </c>
      <c r="F22" s="66">
        <v>0</v>
      </c>
      <c r="G22" s="45">
        <v>0.8</v>
      </c>
      <c r="H22" s="41">
        <v>29.4</v>
      </c>
      <c r="I22" s="45">
        <v>8.4</v>
      </c>
      <c r="J22" s="45">
        <v>8.1999999999999993</v>
      </c>
      <c r="K22" s="45">
        <v>13</v>
      </c>
      <c r="L22" s="45">
        <v>5</v>
      </c>
      <c r="M22" s="47">
        <v>10.199999999999999</v>
      </c>
      <c r="N22" s="48" t="s">
        <v>163</v>
      </c>
    </row>
    <row r="23" spans="1:14" ht="21.75" customHeight="1" x14ac:dyDescent="0.3">
      <c r="A23" s="13" t="s">
        <v>213</v>
      </c>
      <c r="B23" s="43" t="s">
        <v>214</v>
      </c>
      <c r="C23" s="67">
        <v>6619</v>
      </c>
      <c r="D23" s="67">
        <v>1429</v>
      </c>
      <c r="E23" s="67">
        <v>11</v>
      </c>
      <c r="F23" s="67">
        <v>22</v>
      </c>
      <c r="G23" s="41">
        <v>22.3</v>
      </c>
      <c r="H23" s="41">
        <v>26.7</v>
      </c>
      <c r="I23" s="41">
        <v>30.6</v>
      </c>
      <c r="J23" s="41">
        <v>24.2</v>
      </c>
      <c r="K23" s="41">
        <v>30.8</v>
      </c>
      <c r="L23" s="45">
        <v>6.4</v>
      </c>
      <c r="M23" s="46">
        <v>23.8</v>
      </c>
      <c r="N23" s="29" t="s">
        <v>160</v>
      </c>
    </row>
    <row r="24" spans="1:14" ht="21.75" customHeight="1" x14ac:dyDescent="0.3">
      <c r="A24" s="17" t="s">
        <v>215</v>
      </c>
      <c r="B24" s="37" t="s">
        <v>216</v>
      </c>
      <c r="C24" s="66">
        <v>551</v>
      </c>
      <c r="D24" s="66">
        <v>113</v>
      </c>
      <c r="E24" s="66">
        <v>0</v>
      </c>
      <c r="F24" s="66">
        <v>11</v>
      </c>
      <c r="G24" s="40">
        <v>49</v>
      </c>
      <c r="H24" s="41">
        <v>30.7</v>
      </c>
      <c r="I24" s="41">
        <v>34.1</v>
      </c>
      <c r="J24" s="39">
        <v>62.4</v>
      </c>
      <c r="K24" s="41">
        <v>30.6</v>
      </c>
      <c r="L24" s="41">
        <v>21.4</v>
      </c>
      <c r="M24" s="46">
        <v>38.4</v>
      </c>
      <c r="N24" s="29" t="s">
        <v>160</v>
      </c>
    </row>
    <row r="25" spans="1:14" ht="21.75" customHeight="1" x14ac:dyDescent="0.3">
      <c r="A25" s="13" t="s">
        <v>217</v>
      </c>
      <c r="B25" s="43" t="s">
        <v>218</v>
      </c>
      <c r="C25" s="67">
        <v>2922</v>
      </c>
      <c r="D25" s="67">
        <v>735</v>
      </c>
      <c r="E25" s="67">
        <v>1</v>
      </c>
      <c r="F25" s="67">
        <v>13</v>
      </c>
      <c r="G25" s="45">
        <v>8.3000000000000007</v>
      </c>
      <c r="H25" s="45">
        <v>14.2</v>
      </c>
      <c r="I25" s="41">
        <v>32.5</v>
      </c>
      <c r="J25" s="45">
        <v>15.4</v>
      </c>
      <c r="K25" s="41">
        <v>30.7</v>
      </c>
      <c r="L25" s="45">
        <v>4.2</v>
      </c>
      <c r="M25" s="47">
        <v>17.8</v>
      </c>
      <c r="N25" s="48" t="s">
        <v>163</v>
      </c>
    </row>
    <row r="26" spans="1:14" ht="21.75" customHeight="1" x14ac:dyDescent="0.3">
      <c r="A26" s="17" t="s">
        <v>219</v>
      </c>
      <c r="B26" s="37" t="s">
        <v>220</v>
      </c>
      <c r="C26" s="66">
        <v>1860</v>
      </c>
      <c r="D26" s="66">
        <v>300</v>
      </c>
      <c r="E26" s="66">
        <v>3216</v>
      </c>
      <c r="F26" s="66">
        <v>497</v>
      </c>
      <c r="G26" s="49">
        <v>86.8</v>
      </c>
      <c r="H26" s="40">
        <v>45.3</v>
      </c>
      <c r="I26" s="40">
        <v>50.5</v>
      </c>
      <c r="J26" s="49">
        <v>93.8</v>
      </c>
      <c r="K26" s="40">
        <v>41.2</v>
      </c>
      <c r="L26" s="39">
        <v>79.400000000000006</v>
      </c>
      <c r="M26" s="50">
        <v>66.400000000000006</v>
      </c>
      <c r="N26" s="24" t="s">
        <v>161</v>
      </c>
    </row>
    <row r="27" spans="1:14" ht="21.75" customHeight="1" x14ac:dyDescent="0.3">
      <c r="A27" s="13" t="s">
        <v>221</v>
      </c>
      <c r="B27" s="43" t="s">
        <v>222</v>
      </c>
      <c r="C27" s="67">
        <v>26211</v>
      </c>
      <c r="D27" s="67">
        <v>5091</v>
      </c>
      <c r="E27" s="67">
        <v>914</v>
      </c>
      <c r="F27" s="67">
        <v>664</v>
      </c>
      <c r="G27" s="40">
        <v>54.9</v>
      </c>
      <c r="H27" s="40">
        <v>43.3</v>
      </c>
      <c r="I27" s="39">
        <v>61.8</v>
      </c>
      <c r="J27" s="39">
        <v>70.8</v>
      </c>
      <c r="K27" s="40">
        <v>59.3</v>
      </c>
      <c r="L27" s="41">
        <v>36.1</v>
      </c>
      <c r="M27" s="42">
        <v>54.8</v>
      </c>
      <c r="N27" s="28" t="s">
        <v>162</v>
      </c>
    </row>
    <row r="28" spans="1:14" ht="21.75" customHeight="1" x14ac:dyDescent="0.3">
      <c r="A28" s="17" t="s">
        <v>110</v>
      </c>
      <c r="B28" s="37" t="s">
        <v>223</v>
      </c>
      <c r="C28" s="66">
        <v>4974</v>
      </c>
      <c r="D28" s="66">
        <v>962</v>
      </c>
      <c r="E28" s="66">
        <v>291</v>
      </c>
      <c r="F28" s="66">
        <v>203</v>
      </c>
      <c r="G28" s="40">
        <v>55.9</v>
      </c>
      <c r="H28" s="41">
        <v>24</v>
      </c>
      <c r="I28" s="41">
        <v>39.4</v>
      </c>
      <c r="J28" s="39">
        <v>61.4</v>
      </c>
      <c r="K28" s="40">
        <v>42.3</v>
      </c>
      <c r="L28" s="41">
        <v>29</v>
      </c>
      <c r="M28" s="42">
        <v>42.6</v>
      </c>
      <c r="N28" s="28" t="s">
        <v>162</v>
      </c>
    </row>
    <row r="29" spans="1:14" ht="21.75" customHeight="1" x14ac:dyDescent="0.3">
      <c r="A29" s="13" t="s">
        <v>224</v>
      </c>
      <c r="B29" s="43" t="s">
        <v>225</v>
      </c>
      <c r="C29" s="67">
        <v>9964</v>
      </c>
      <c r="D29" s="67">
        <v>5669</v>
      </c>
      <c r="E29" s="67">
        <v>30528</v>
      </c>
      <c r="F29" s="67">
        <v>103</v>
      </c>
      <c r="G29" s="49">
        <v>95.2</v>
      </c>
      <c r="H29" s="41">
        <v>40</v>
      </c>
      <c r="I29" s="39">
        <v>67.599999999999994</v>
      </c>
      <c r="J29" s="49">
        <v>85.3</v>
      </c>
      <c r="K29" s="39">
        <v>60.2</v>
      </c>
      <c r="L29" s="41">
        <v>33.4</v>
      </c>
      <c r="M29" s="50">
        <v>65.400000000000006</v>
      </c>
      <c r="N29" s="24" t="s">
        <v>161</v>
      </c>
    </row>
    <row r="30" spans="1:14" ht="21.75" customHeight="1" x14ac:dyDescent="0.3">
      <c r="A30" s="17" t="s">
        <v>226</v>
      </c>
      <c r="B30" s="37" t="s">
        <v>227</v>
      </c>
      <c r="C30" s="66">
        <v>4530</v>
      </c>
      <c r="D30" s="66">
        <v>1251</v>
      </c>
      <c r="E30" s="66">
        <v>562</v>
      </c>
      <c r="F30" s="66">
        <v>226</v>
      </c>
      <c r="G30" s="49">
        <v>83.1</v>
      </c>
      <c r="H30" s="40">
        <v>48.1</v>
      </c>
      <c r="I30" s="39">
        <v>68</v>
      </c>
      <c r="J30" s="49">
        <v>92</v>
      </c>
      <c r="K30" s="40">
        <v>54.3</v>
      </c>
      <c r="L30" s="41">
        <v>28.4</v>
      </c>
      <c r="M30" s="50">
        <v>63.6</v>
      </c>
      <c r="N30" s="24" t="s">
        <v>161</v>
      </c>
    </row>
    <row r="31" spans="1:14" ht="21.75" customHeight="1" x14ac:dyDescent="0.3">
      <c r="A31" s="13" t="s">
        <v>228</v>
      </c>
      <c r="B31" s="43" t="s">
        <v>229</v>
      </c>
      <c r="C31" s="67">
        <v>3396</v>
      </c>
      <c r="D31" s="67">
        <v>1494</v>
      </c>
      <c r="E31" s="67">
        <v>65</v>
      </c>
      <c r="F31" s="67">
        <v>15</v>
      </c>
      <c r="G31" s="41">
        <v>26.8</v>
      </c>
      <c r="H31" s="45">
        <v>17.5</v>
      </c>
      <c r="I31" s="49">
        <v>90.2</v>
      </c>
      <c r="J31" s="39">
        <v>60.8</v>
      </c>
      <c r="K31" s="49">
        <v>86.3</v>
      </c>
      <c r="L31" s="45">
        <v>3.6</v>
      </c>
      <c r="M31" s="42">
        <v>48.6</v>
      </c>
      <c r="N31" s="28" t="s">
        <v>162</v>
      </c>
    </row>
    <row r="32" spans="1:14" ht="21.75" customHeight="1" x14ac:dyDescent="0.3">
      <c r="A32" s="17" t="s">
        <v>230</v>
      </c>
      <c r="B32" s="37" t="s">
        <v>231</v>
      </c>
      <c r="C32" s="66">
        <v>417</v>
      </c>
      <c r="D32" s="66">
        <v>84</v>
      </c>
      <c r="E32" s="66">
        <v>302</v>
      </c>
      <c r="F32" s="66">
        <v>121</v>
      </c>
      <c r="G32" s="40">
        <v>42.7</v>
      </c>
      <c r="H32" s="41">
        <v>34</v>
      </c>
      <c r="I32" s="41">
        <v>37.6</v>
      </c>
      <c r="J32" s="40">
        <v>42</v>
      </c>
      <c r="K32" s="41">
        <v>39.4</v>
      </c>
      <c r="L32" s="41">
        <v>24.6</v>
      </c>
      <c r="M32" s="46">
        <v>37.1</v>
      </c>
      <c r="N32" s="29" t="s">
        <v>160</v>
      </c>
    </row>
    <row r="33" spans="1:14" ht="21.75" customHeight="1" x14ac:dyDescent="0.3">
      <c r="A33" s="13" t="s">
        <v>232</v>
      </c>
      <c r="B33" s="43" t="s">
        <v>233</v>
      </c>
      <c r="C33" s="67">
        <v>2290</v>
      </c>
      <c r="D33" s="67">
        <v>504</v>
      </c>
      <c r="E33" s="44">
        <v>0</v>
      </c>
      <c r="F33" s="67">
        <v>0</v>
      </c>
      <c r="G33" s="45">
        <v>14</v>
      </c>
      <c r="H33" s="40">
        <v>42.7</v>
      </c>
      <c r="I33" s="45">
        <v>6.4</v>
      </c>
      <c r="J33" s="45">
        <v>9.4</v>
      </c>
      <c r="K33" s="45">
        <v>8.6</v>
      </c>
      <c r="L33" s="45">
        <v>10.199999999999999</v>
      </c>
      <c r="M33" s="47">
        <v>14.7</v>
      </c>
      <c r="N33" s="48" t="s">
        <v>163</v>
      </c>
    </row>
    <row r="34" spans="1:14" ht="21.75" customHeight="1" x14ac:dyDescent="0.3">
      <c r="A34" s="17" t="s">
        <v>234</v>
      </c>
      <c r="B34" s="37" t="s">
        <v>235</v>
      </c>
      <c r="C34" s="66">
        <v>150</v>
      </c>
      <c r="D34" s="66">
        <v>95</v>
      </c>
      <c r="E34" s="66">
        <v>10</v>
      </c>
      <c r="F34" s="66">
        <v>1</v>
      </c>
      <c r="G34" s="40">
        <v>59.9</v>
      </c>
      <c r="H34" s="39">
        <v>62.2</v>
      </c>
      <c r="I34" s="40">
        <v>40.4</v>
      </c>
      <c r="J34" s="39">
        <v>60.2</v>
      </c>
      <c r="K34" s="40">
        <v>49.2</v>
      </c>
      <c r="L34" s="41">
        <v>28.6</v>
      </c>
      <c r="M34" s="42">
        <v>50.1</v>
      </c>
      <c r="N34" s="28" t="s">
        <v>162</v>
      </c>
    </row>
    <row r="35" spans="1:14" ht="21.75" customHeight="1" x14ac:dyDescent="0.3">
      <c r="A35" s="13" t="s">
        <v>236</v>
      </c>
      <c r="B35" s="43" t="s">
        <v>237</v>
      </c>
      <c r="C35" s="67">
        <v>206</v>
      </c>
      <c r="D35" s="67">
        <v>196</v>
      </c>
      <c r="E35" s="67">
        <v>13</v>
      </c>
      <c r="F35" s="44">
        <v>0</v>
      </c>
      <c r="G35" s="39">
        <v>63.9</v>
      </c>
      <c r="H35" s="45">
        <v>9.1999999999999993</v>
      </c>
      <c r="I35" s="45">
        <v>17.2</v>
      </c>
      <c r="J35" s="41">
        <v>35</v>
      </c>
      <c r="K35" s="45">
        <v>19.2</v>
      </c>
      <c r="L35" s="45">
        <v>10.9</v>
      </c>
      <c r="M35" s="46">
        <v>27.4</v>
      </c>
      <c r="N35" s="29" t="s">
        <v>160</v>
      </c>
    </row>
    <row r="36" spans="1:14" ht="21.75" customHeight="1" x14ac:dyDescent="0.3">
      <c r="A36" s="17" t="s">
        <v>238</v>
      </c>
      <c r="B36" s="37" t="s">
        <v>239</v>
      </c>
      <c r="C36" s="66">
        <v>1013</v>
      </c>
      <c r="D36" s="66">
        <v>129</v>
      </c>
      <c r="E36" s="66">
        <v>264</v>
      </c>
      <c r="F36" s="66">
        <v>116</v>
      </c>
      <c r="G36" s="49">
        <v>94</v>
      </c>
      <c r="H36" s="39">
        <v>68.400000000000006</v>
      </c>
      <c r="I36" s="40">
        <v>45.1</v>
      </c>
      <c r="J36" s="49">
        <v>93.7</v>
      </c>
      <c r="K36" s="40">
        <v>57</v>
      </c>
      <c r="L36" s="40">
        <v>53</v>
      </c>
      <c r="M36" s="50">
        <v>68.599999999999994</v>
      </c>
      <c r="N36" s="24" t="s">
        <v>161</v>
      </c>
    </row>
    <row r="37" spans="1:14" ht="21.75" customHeight="1" x14ac:dyDescent="0.3">
      <c r="A37" s="13" t="s">
        <v>240</v>
      </c>
      <c r="B37" s="43" t="s">
        <v>241</v>
      </c>
      <c r="C37" s="67">
        <v>740</v>
      </c>
      <c r="D37" s="67">
        <v>115</v>
      </c>
      <c r="E37" s="67">
        <v>241</v>
      </c>
      <c r="F37" s="67">
        <v>52</v>
      </c>
      <c r="G37" s="39">
        <v>66.400000000000006</v>
      </c>
      <c r="H37" s="40">
        <v>41.7</v>
      </c>
      <c r="I37" s="41">
        <v>35.9</v>
      </c>
      <c r="J37" s="39">
        <v>76</v>
      </c>
      <c r="K37" s="40">
        <v>40.799999999999997</v>
      </c>
      <c r="L37" s="49">
        <v>99.8</v>
      </c>
      <c r="M37" s="42">
        <v>59.2</v>
      </c>
      <c r="N37" s="28" t="s">
        <v>162</v>
      </c>
    </row>
    <row r="38" spans="1:14" ht="21.75" customHeight="1" x14ac:dyDescent="0.3">
      <c r="A38" s="17" t="s">
        <v>242</v>
      </c>
      <c r="B38" s="37" t="s">
        <v>243</v>
      </c>
      <c r="C38" s="66">
        <v>413</v>
      </c>
      <c r="D38" s="66">
        <v>74</v>
      </c>
      <c r="E38" s="66">
        <v>3</v>
      </c>
      <c r="F38" s="66">
        <v>5</v>
      </c>
      <c r="G38" s="40">
        <v>42.8</v>
      </c>
      <c r="H38" s="41">
        <v>29.1</v>
      </c>
      <c r="I38" s="45">
        <v>14.9</v>
      </c>
      <c r="J38" s="40">
        <v>42.1</v>
      </c>
      <c r="K38" s="45">
        <v>20</v>
      </c>
      <c r="L38" s="45">
        <v>18.8</v>
      </c>
      <c r="M38" s="46">
        <v>28</v>
      </c>
      <c r="N38" s="29" t="s">
        <v>160</v>
      </c>
    </row>
    <row r="39" spans="1:14" ht="21.75" customHeight="1" x14ac:dyDescent="0.3">
      <c r="A39" s="13" t="s">
        <v>118</v>
      </c>
      <c r="B39" s="43" t="s">
        <v>244</v>
      </c>
      <c r="C39" s="67">
        <v>15979</v>
      </c>
      <c r="D39" s="67">
        <v>2833</v>
      </c>
      <c r="E39" s="67">
        <v>7488</v>
      </c>
      <c r="F39" s="67">
        <v>5675</v>
      </c>
      <c r="G39" s="39">
        <v>67.5</v>
      </c>
      <c r="H39" s="41">
        <v>22.6</v>
      </c>
      <c r="I39" s="40">
        <v>41.9</v>
      </c>
      <c r="J39" s="39">
        <v>67.599999999999994</v>
      </c>
      <c r="K39" s="40">
        <v>51.7</v>
      </c>
      <c r="L39" s="45">
        <v>18.3</v>
      </c>
      <c r="M39" s="42">
        <v>45.9</v>
      </c>
      <c r="N39" s="28" t="s">
        <v>162</v>
      </c>
    </row>
    <row r="40" spans="1:14" ht="21.75" customHeight="1" x14ac:dyDescent="0.3">
      <c r="A40" s="17" t="s">
        <v>245</v>
      </c>
      <c r="B40" s="37" t="s">
        <v>246</v>
      </c>
      <c r="C40" s="66">
        <v>2372</v>
      </c>
      <c r="D40" s="66">
        <v>297</v>
      </c>
      <c r="E40" s="66">
        <v>41</v>
      </c>
      <c r="F40" s="66">
        <v>8</v>
      </c>
      <c r="G40" s="39">
        <v>67.5</v>
      </c>
      <c r="H40" s="40">
        <v>44.2</v>
      </c>
      <c r="I40" s="40">
        <v>41.7</v>
      </c>
      <c r="J40" s="39">
        <v>62.2</v>
      </c>
      <c r="K40" s="40">
        <v>46.5</v>
      </c>
      <c r="L40" s="41">
        <v>29.4</v>
      </c>
      <c r="M40" s="42">
        <v>49.2</v>
      </c>
      <c r="N40" s="28" t="s">
        <v>162</v>
      </c>
    </row>
    <row r="41" spans="1:14" ht="21.75" customHeight="1" x14ac:dyDescent="0.3">
      <c r="A41" s="13" t="s">
        <v>247</v>
      </c>
      <c r="B41" s="43" t="s">
        <v>248</v>
      </c>
      <c r="C41" s="67">
        <v>645</v>
      </c>
      <c r="D41" s="67">
        <v>111</v>
      </c>
      <c r="E41" s="67">
        <v>632</v>
      </c>
      <c r="F41" s="67">
        <v>180</v>
      </c>
      <c r="G41" s="39">
        <v>78.599999999999994</v>
      </c>
      <c r="H41" s="40">
        <v>50.9</v>
      </c>
      <c r="I41" s="40">
        <v>54.4</v>
      </c>
      <c r="J41" s="49">
        <v>87.9</v>
      </c>
      <c r="K41" s="40">
        <v>44.6</v>
      </c>
      <c r="L41" s="49">
        <v>100</v>
      </c>
      <c r="M41" s="50">
        <v>69.099999999999994</v>
      </c>
      <c r="N41" s="24" t="s">
        <v>161</v>
      </c>
    </row>
    <row r="42" spans="1:14" ht="21.75" customHeight="1" x14ac:dyDescent="0.3">
      <c r="A42" s="17" t="s">
        <v>249</v>
      </c>
      <c r="B42" s="37" t="s">
        <v>250</v>
      </c>
      <c r="C42" s="66">
        <v>83</v>
      </c>
      <c r="D42" s="66">
        <v>14</v>
      </c>
      <c r="E42" s="66">
        <v>2</v>
      </c>
      <c r="F42" s="66">
        <v>1</v>
      </c>
      <c r="G42" s="40">
        <v>43.1</v>
      </c>
      <c r="H42" s="40">
        <v>58.8</v>
      </c>
      <c r="I42" s="41">
        <v>24.9</v>
      </c>
      <c r="J42" s="41">
        <v>37.299999999999997</v>
      </c>
      <c r="K42" s="41">
        <v>27</v>
      </c>
      <c r="L42" s="39">
        <v>67.400000000000006</v>
      </c>
      <c r="M42" s="42">
        <v>42.2</v>
      </c>
      <c r="N42" s="28" t="s">
        <v>162</v>
      </c>
    </row>
    <row r="43" spans="1:14" ht="21.75" customHeight="1" x14ac:dyDescent="0.3">
      <c r="A43" s="13" t="s">
        <v>106</v>
      </c>
      <c r="B43" s="43" t="s">
        <v>251</v>
      </c>
      <c r="C43" s="67">
        <v>85</v>
      </c>
      <c r="D43" s="67">
        <v>19</v>
      </c>
      <c r="E43" s="67">
        <v>1</v>
      </c>
      <c r="F43" s="67">
        <v>4</v>
      </c>
      <c r="G43" s="49">
        <v>98.6</v>
      </c>
      <c r="H43" s="45">
        <v>9.1</v>
      </c>
      <c r="I43" s="40">
        <v>50.4</v>
      </c>
      <c r="J43" s="39">
        <v>72.599999999999994</v>
      </c>
      <c r="K43" s="41">
        <v>36.299999999999997</v>
      </c>
      <c r="L43" s="49">
        <v>80.099999999999994</v>
      </c>
      <c r="M43" s="42">
        <v>59.5</v>
      </c>
      <c r="N43" s="28" t="s">
        <v>162</v>
      </c>
    </row>
    <row r="44" spans="1:14" ht="21.75" customHeight="1" x14ac:dyDescent="0.3">
      <c r="A44" s="17" t="s">
        <v>252</v>
      </c>
      <c r="B44" s="37" t="s">
        <v>253</v>
      </c>
      <c r="C44" s="66">
        <v>474</v>
      </c>
      <c r="D44" s="66">
        <v>116</v>
      </c>
      <c r="E44" s="38">
        <v>1</v>
      </c>
      <c r="F44" s="66">
        <v>1</v>
      </c>
      <c r="G44" s="45">
        <v>2.2000000000000002</v>
      </c>
      <c r="H44" s="45">
        <v>13.4</v>
      </c>
      <c r="I44" s="45">
        <v>14.2</v>
      </c>
      <c r="J44" s="45">
        <v>4.2</v>
      </c>
      <c r="K44" s="45">
        <v>17.2</v>
      </c>
      <c r="L44" s="45">
        <v>0</v>
      </c>
      <c r="M44" s="47">
        <v>8.5</v>
      </c>
      <c r="N44" s="48" t="s">
        <v>163</v>
      </c>
    </row>
    <row r="45" spans="1:14" ht="21.75" customHeight="1" x14ac:dyDescent="0.3">
      <c r="A45" s="13" t="s">
        <v>254</v>
      </c>
      <c r="B45" s="43" t="s">
        <v>255</v>
      </c>
      <c r="C45" s="67">
        <v>46</v>
      </c>
      <c r="D45" s="67">
        <v>45</v>
      </c>
      <c r="E45" s="67">
        <v>9</v>
      </c>
      <c r="F45" s="67">
        <v>1</v>
      </c>
      <c r="G45" s="39">
        <v>65.5</v>
      </c>
      <c r="H45" s="45">
        <v>18</v>
      </c>
      <c r="I45" s="40">
        <v>40.1</v>
      </c>
      <c r="J45" s="41">
        <v>29.3</v>
      </c>
      <c r="K45" s="40">
        <v>53.9</v>
      </c>
      <c r="L45" s="45">
        <v>15.2</v>
      </c>
      <c r="M45" s="46">
        <v>38.6</v>
      </c>
      <c r="N45" s="29" t="s">
        <v>160</v>
      </c>
    </row>
    <row r="46" spans="1:14" ht="21.75" customHeight="1" x14ac:dyDescent="0.3">
      <c r="A46" s="17" t="s">
        <v>77</v>
      </c>
      <c r="B46" s="37" t="s">
        <v>256</v>
      </c>
      <c r="C46" s="66">
        <v>289</v>
      </c>
      <c r="D46" s="66">
        <v>34</v>
      </c>
      <c r="E46" s="66">
        <v>1</v>
      </c>
      <c r="F46" s="66">
        <v>3</v>
      </c>
      <c r="G46" s="40">
        <v>48.4</v>
      </c>
      <c r="H46" s="41">
        <v>28.3</v>
      </c>
      <c r="I46" s="41">
        <v>33.4</v>
      </c>
      <c r="J46" s="41">
        <v>37.4</v>
      </c>
      <c r="K46" s="40">
        <v>42.5</v>
      </c>
      <c r="L46" s="45">
        <v>20</v>
      </c>
      <c r="M46" s="46">
        <v>35.6</v>
      </c>
      <c r="N46" s="29" t="s">
        <v>160</v>
      </c>
    </row>
    <row r="47" spans="1:14" ht="21.75" customHeight="1" x14ac:dyDescent="0.3">
      <c r="A47" s="13" t="s">
        <v>257</v>
      </c>
      <c r="B47" s="43" t="s">
        <v>258</v>
      </c>
      <c r="C47" s="67">
        <v>1200</v>
      </c>
      <c r="D47" s="67">
        <v>264</v>
      </c>
      <c r="E47" s="67">
        <v>530</v>
      </c>
      <c r="F47" s="67">
        <v>264</v>
      </c>
      <c r="G47" s="40">
        <v>59.1</v>
      </c>
      <c r="H47" s="41">
        <v>32.4</v>
      </c>
      <c r="I47" s="40">
        <v>49.5</v>
      </c>
      <c r="J47" s="39">
        <v>71.5</v>
      </c>
      <c r="K47" s="40">
        <v>45.8</v>
      </c>
      <c r="L47" s="41">
        <v>35.4</v>
      </c>
      <c r="M47" s="42">
        <v>49.5</v>
      </c>
      <c r="N47" s="28" t="s">
        <v>162</v>
      </c>
    </row>
    <row r="48" spans="1:14" ht="21.75" customHeight="1" x14ac:dyDescent="0.3">
      <c r="A48" s="17" t="s">
        <v>259</v>
      </c>
      <c r="B48" s="37" t="s">
        <v>260</v>
      </c>
      <c r="C48" s="66">
        <v>894</v>
      </c>
      <c r="D48" s="66">
        <v>84</v>
      </c>
      <c r="E48" s="66">
        <v>0</v>
      </c>
      <c r="F48" s="66">
        <v>4</v>
      </c>
      <c r="G48" s="41">
        <v>33.799999999999997</v>
      </c>
      <c r="H48" s="45">
        <v>18.7</v>
      </c>
      <c r="I48" s="41">
        <v>30</v>
      </c>
      <c r="J48" s="41">
        <v>28.4</v>
      </c>
      <c r="K48" s="40">
        <v>41.4</v>
      </c>
      <c r="L48" s="45">
        <v>11.5</v>
      </c>
      <c r="M48" s="46">
        <v>27.8</v>
      </c>
      <c r="N48" s="29" t="s">
        <v>160</v>
      </c>
    </row>
    <row r="49" spans="1:14" ht="21.75" customHeight="1" x14ac:dyDescent="0.3">
      <c r="A49" s="13" t="s">
        <v>261</v>
      </c>
      <c r="B49" s="43" t="s">
        <v>262</v>
      </c>
      <c r="C49" s="67">
        <v>380</v>
      </c>
      <c r="D49" s="67">
        <v>93</v>
      </c>
      <c r="E49" s="67">
        <v>0</v>
      </c>
      <c r="F49" s="67">
        <v>3</v>
      </c>
      <c r="G49" s="41">
        <v>25.5</v>
      </c>
      <c r="H49" s="41">
        <v>25.6</v>
      </c>
      <c r="I49" s="45">
        <v>9.4</v>
      </c>
      <c r="J49" s="45">
        <v>13.4</v>
      </c>
      <c r="K49" s="45">
        <v>14.2</v>
      </c>
      <c r="L49" s="45">
        <v>10.199999999999999</v>
      </c>
      <c r="M49" s="47">
        <v>16.5</v>
      </c>
      <c r="N49" s="48" t="s">
        <v>163</v>
      </c>
    </row>
    <row r="50" spans="1:14" ht="21.75" customHeight="1" x14ac:dyDescent="0.3">
      <c r="A50" s="17" t="s">
        <v>263</v>
      </c>
      <c r="B50" s="37" t="s">
        <v>264</v>
      </c>
      <c r="C50" s="66">
        <v>95</v>
      </c>
      <c r="D50" s="66">
        <v>81</v>
      </c>
      <c r="E50" s="66">
        <v>13</v>
      </c>
      <c r="F50" s="38">
        <v>0</v>
      </c>
      <c r="G50" s="39">
        <v>60.2</v>
      </c>
      <c r="H50" s="45">
        <v>8.1</v>
      </c>
      <c r="I50" s="45">
        <v>10.8</v>
      </c>
      <c r="J50" s="45">
        <v>13.4</v>
      </c>
      <c r="K50" s="41">
        <v>30.4</v>
      </c>
      <c r="L50" s="45">
        <v>3.8</v>
      </c>
      <c r="M50" s="46">
        <v>22.6</v>
      </c>
      <c r="N50" s="29" t="s">
        <v>160</v>
      </c>
    </row>
    <row r="51" spans="1:14" ht="21.75" customHeight="1" x14ac:dyDescent="0.3">
      <c r="A51" s="13" t="s">
        <v>265</v>
      </c>
      <c r="B51" s="43" t="s">
        <v>266</v>
      </c>
      <c r="C51" s="67">
        <v>589</v>
      </c>
      <c r="D51" s="67">
        <v>96</v>
      </c>
      <c r="E51" s="67">
        <v>0</v>
      </c>
      <c r="F51" s="67">
        <v>4</v>
      </c>
      <c r="G51" s="40">
        <v>42.2</v>
      </c>
      <c r="H51" s="41">
        <v>24.6</v>
      </c>
      <c r="I51" s="41">
        <v>22.8</v>
      </c>
      <c r="J51" s="41">
        <v>37.5</v>
      </c>
      <c r="K51" s="41">
        <v>25.6</v>
      </c>
      <c r="L51" s="45">
        <v>13.4</v>
      </c>
      <c r="M51" s="46">
        <v>28.2</v>
      </c>
      <c r="N51" s="29" t="s">
        <v>160</v>
      </c>
    </row>
    <row r="52" spans="1:14" ht="21.75" customHeight="1" x14ac:dyDescent="0.3">
      <c r="A52" s="17" t="s">
        <v>133</v>
      </c>
      <c r="B52" s="37" t="s">
        <v>267</v>
      </c>
      <c r="C52" s="66">
        <v>21004</v>
      </c>
      <c r="D52" s="66">
        <v>4428</v>
      </c>
      <c r="E52" s="66">
        <v>647</v>
      </c>
      <c r="F52" s="66">
        <v>273</v>
      </c>
      <c r="G52" s="49">
        <v>89.6</v>
      </c>
      <c r="H52" s="45">
        <v>14</v>
      </c>
      <c r="I52" s="49">
        <v>91.8</v>
      </c>
      <c r="J52" s="39">
        <v>79.5</v>
      </c>
      <c r="K52" s="49">
        <v>92</v>
      </c>
      <c r="L52" s="45">
        <v>16.7</v>
      </c>
      <c r="M52" s="50">
        <v>66.599999999999994</v>
      </c>
      <c r="N52" s="24" t="s">
        <v>161</v>
      </c>
    </row>
    <row r="53" spans="1:14" ht="21.75" customHeight="1" x14ac:dyDescent="0.3">
      <c r="A53" s="13" t="s">
        <v>268</v>
      </c>
      <c r="B53" s="43" t="s">
        <v>269</v>
      </c>
      <c r="C53" s="67">
        <v>163</v>
      </c>
      <c r="D53" s="67">
        <v>149</v>
      </c>
      <c r="E53" s="67">
        <v>6</v>
      </c>
      <c r="F53" s="67">
        <v>1</v>
      </c>
      <c r="G53" s="39">
        <v>72.7</v>
      </c>
      <c r="H53" s="45">
        <v>13.4</v>
      </c>
      <c r="I53" s="40">
        <v>40.9</v>
      </c>
      <c r="J53" s="40">
        <v>54.6</v>
      </c>
      <c r="K53" s="39">
        <v>63.3</v>
      </c>
      <c r="L53" s="45">
        <v>9.6</v>
      </c>
      <c r="M53" s="42">
        <v>43.9</v>
      </c>
      <c r="N53" s="28" t="s">
        <v>162</v>
      </c>
    </row>
    <row r="54" spans="1:14" ht="21.75" customHeight="1" x14ac:dyDescent="0.3">
      <c r="A54" s="17" t="s">
        <v>270</v>
      </c>
      <c r="B54" s="37" t="s">
        <v>271</v>
      </c>
      <c r="C54" s="66">
        <v>5</v>
      </c>
      <c r="D54" s="66">
        <v>3</v>
      </c>
      <c r="E54" s="38">
        <v>0</v>
      </c>
      <c r="F54" s="38">
        <v>0</v>
      </c>
      <c r="G54" s="41">
        <v>21.8</v>
      </c>
      <c r="H54" s="41">
        <v>36.799999999999997</v>
      </c>
      <c r="I54" s="41">
        <v>30.1</v>
      </c>
      <c r="J54" s="45">
        <v>4.8</v>
      </c>
      <c r="K54" s="40">
        <v>45.1</v>
      </c>
      <c r="L54" s="45">
        <v>0</v>
      </c>
      <c r="M54" s="46">
        <v>23.4</v>
      </c>
      <c r="N54" s="29" t="s">
        <v>160</v>
      </c>
    </row>
    <row r="55" spans="1:14" ht="21.75" customHeight="1" x14ac:dyDescent="0.3">
      <c r="A55" s="13" t="s">
        <v>272</v>
      </c>
      <c r="B55" s="43" t="s">
        <v>273</v>
      </c>
      <c r="C55" s="67">
        <v>6800</v>
      </c>
      <c r="D55" s="67">
        <v>1169</v>
      </c>
      <c r="E55" s="67">
        <v>8522</v>
      </c>
      <c r="F55" s="67">
        <v>812</v>
      </c>
      <c r="G55" s="49">
        <v>91.2</v>
      </c>
      <c r="H55" s="49">
        <v>90.2</v>
      </c>
      <c r="I55" s="49">
        <v>92.6</v>
      </c>
      <c r="J55" s="49">
        <v>99.9</v>
      </c>
      <c r="K55" s="49">
        <v>94.2</v>
      </c>
      <c r="L55" s="49">
        <v>92.9</v>
      </c>
      <c r="M55" s="51">
        <v>93.3</v>
      </c>
      <c r="N55" s="52" t="s">
        <v>274</v>
      </c>
    </row>
    <row r="56" spans="1:14" ht="21.75" customHeight="1" x14ac:dyDescent="0.3">
      <c r="A56" s="17" t="s">
        <v>91</v>
      </c>
      <c r="B56" s="37" t="s">
        <v>275</v>
      </c>
      <c r="C56" s="66">
        <v>1675</v>
      </c>
      <c r="D56" s="66">
        <v>289</v>
      </c>
      <c r="E56" s="66">
        <v>139</v>
      </c>
      <c r="F56" s="66">
        <v>56</v>
      </c>
      <c r="G56" s="40">
        <v>47.1</v>
      </c>
      <c r="H56" s="39">
        <v>63.8</v>
      </c>
      <c r="I56" s="41">
        <v>39.4</v>
      </c>
      <c r="J56" s="39">
        <v>69.900000000000006</v>
      </c>
      <c r="K56" s="41">
        <v>34.4</v>
      </c>
      <c r="L56" s="41">
        <v>37.6</v>
      </c>
      <c r="M56" s="42">
        <v>48.2</v>
      </c>
      <c r="N56" s="28" t="s">
        <v>162</v>
      </c>
    </row>
    <row r="57" spans="1:14" ht="21.75" customHeight="1" x14ac:dyDescent="0.3">
      <c r="A57" s="13" t="s">
        <v>276</v>
      </c>
      <c r="B57" s="43" t="s">
        <v>277</v>
      </c>
      <c r="C57" s="67">
        <v>5684</v>
      </c>
      <c r="D57" s="67">
        <v>1123</v>
      </c>
      <c r="E57" s="67">
        <v>1</v>
      </c>
      <c r="F57" s="67">
        <v>0</v>
      </c>
      <c r="G57" s="41">
        <v>23.4</v>
      </c>
      <c r="H57" s="45">
        <v>13.4</v>
      </c>
      <c r="I57" s="41">
        <v>21.8</v>
      </c>
      <c r="J57" s="45">
        <v>18.2</v>
      </c>
      <c r="K57" s="41">
        <v>34.5</v>
      </c>
      <c r="L57" s="45">
        <v>9.6999999999999993</v>
      </c>
      <c r="M57" s="46">
        <v>20.399999999999999</v>
      </c>
      <c r="N57" s="29" t="s">
        <v>160</v>
      </c>
    </row>
    <row r="58" spans="1:14" ht="21.75" customHeight="1" x14ac:dyDescent="0.3">
      <c r="A58" s="17" t="s">
        <v>278</v>
      </c>
      <c r="B58" s="37" t="s">
        <v>279</v>
      </c>
      <c r="C58" s="66">
        <v>4366</v>
      </c>
      <c r="D58" s="66">
        <v>973</v>
      </c>
      <c r="E58" s="66">
        <v>2</v>
      </c>
      <c r="F58" s="66">
        <v>7</v>
      </c>
      <c r="G58" s="41">
        <v>25.1</v>
      </c>
      <c r="H58" s="41">
        <v>32.6</v>
      </c>
      <c r="I58" s="45">
        <v>16.2</v>
      </c>
      <c r="J58" s="41">
        <v>33</v>
      </c>
      <c r="K58" s="41">
        <v>22.4</v>
      </c>
      <c r="L58" s="45">
        <v>8.6999999999999993</v>
      </c>
      <c r="M58" s="46">
        <v>22.8</v>
      </c>
      <c r="N58" s="29" t="s">
        <v>160</v>
      </c>
    </row>
    <row r="59" spans="1:14" ht="21.75" customHeight="1" x14ac:dyDescent="0.3">
      <c r="A59" s="13" t="s">
        <v>280</v>
      </c>
      <c r="B59" s="43" t="s">
        <v>281</v>
      </c>
      <c r="C59" s="67">
        <v>1010</v>
      </c>
      <c r="D59" s="67">
        <v>229</v>
      </c>
      <c r="E59" s="67">
        <v>0</v>
      </c>
      <c r="F59" s="67">
        <v>0</v>
      </c>
      <c r="G59" s="45">
        <v>3.9</v>
      </c>
      <c r="H59" s="45">
        <v>18.399999999999999</v>
      </c>
      <c r="I59" s="45">
        <v>17.5</v>
      </c>
      <c r="J59" s="45">
        <v>8.8000000000000007</v>
      </c>
      <c r="K59" s="45">
        <v>17.5</v>
      </c>
      <c r="L59" s="45">
        <v>3.4</v>
      </c>
      <c r="M59" s="47">
        <v>11.5</v>
      </c>
      <c r="N59" s="48" t="s">
        <v>163</v>
      </c>
    </row>
    <row r="60" spans="1:14" ht="21.75" customHeight="1" x14ac:dyDescent="0.3">
      <c r="A60" s="17" t="s">
        <v>282</v>
      </c>
      <c r="B60" s="37" t="s">
        <v>283</v>
      </c>
      <c r="C60" s="66">
        <v>820</v>
      </c>
      <c r="D60" s="66">
        <v>143</v>
      </c>
      <c r="E60" s="38">
        <v>0</v>
      </c>
      <c r="F60" s="38">
        <v>0</v>
      </c>
      <c r="G60" s="45">
        <v>11.2</v>
      </c>
      <c r="H60" s="45">
        <v>14.3</v>
      </c>
      <c r="I60" s="41">
        <v>22.6</v>
      </c>
      <c r="J60" s="45">
        <v>12.4</v>
      </c>
      <c r="K60" s="41">
        <v>25</v>
      </c>
      <c r="L60" s="45">
        <v>17.100000000000001</v>
      </c>
      <c r="M60" s="47">
        <v>17.100000000000001</v>
      </c>
      <c r="N60" s="48" t="s">
        <v>163</v>
      </c>
    </row>
    <row r="61" spans="1:14" ht="21.75" customHeight="1" x14ac:dyDescent="0.3">
      <c r="A61" s="13" t="s">
        <v>284</v>
      </c>
      <c r="B61" s="43" t="s">
        <v>285</v>
      </c>
      <c r="C61" s="67">
        <v>476</v>
      </c>
      <c r="D61" s="67">
        <v>78</v>
      </c>
      <c r="E61" s="67">
        <v>107</v>
      </c>
      <c r="F61" s="67">
        <v>32</v>
      </c>
      <c r="G61" s="40">
        <v>57.2</v>
      </c>
      <c r="H61" s="41">
        <v>27.1</v>
      </c>
      <c r="I61" s="40">
        <v>41.6</v>
      </c>
      <c r="J61" s="40">
        <v>58.4</v>
      </c>
      <c r="K61" s="41">
        <v>37.299999999999997</v>
      </c>
      <c r="L61" s="41">
        <v>25</v>
      </c>
      <c r="M61" s="42">
        <v>41.9</v>
      </c>
      <c r="N61" s="28" t="s">
        <v>162</v>
      </c>
    </row>
    <row r="62" spans="1:14" ht="21.75" customHeight="1" x14ac:dyDescent="0.3">
      <c r="A62" s="17" t="s">
        <v>82</v>
      </c>
      <c r="B62" s="37" t="s">
        <v>286</v>
      </c>
      <c r="C62" s="66">
        <v>6128</v>
      </c>
      <c r="D62" s="66">
        <v>1198</v>
      </c>
      <c r="E62" s="66">
        <v>16</v>
      </c>
      <c r="F62" s="66">
        <v>15</v>
      </c>
      <c r="G62" s="39">
        <v>77.7</v>
      </c>
      <c r="H62" s="40">
        <v>43.7</v>
      </c>
      <c r="I62" s="39">
        <v>62.9</v>
      </c>
      <c r="J62" s="39">
        <v>79.599999999999994</v>
      </c>
      <c r="K62" s="20" t="s">
        <v>25</v>
      </c>
      <c r="L62" s="45">
        <v>16.399999999999999</v>
      </c>
      <c r="M62" s="42">
        <v>57.7</v>
      </c>
      <c r="N62" s="28" t="s">
        <v>162</v>
      </c>
    </row>
    <row r="63" spans="1:14" ht="21.75" customHeight="1" x14ac:dyDescent="0.3">
      <c r="A63" s="13" t="s">
        <v>287</v>
      </c>
      <c r="B63" s="43" t="s">
        <v>288</v>
      </c>
      <c r="C63" s="67">
        <v>84228</v>
      </c>
      <c r="D63" s="67">
        <v>17503</v>
      </c>
      <c r="E63" s="67">
        <v>71612</v>
      </c>
      <c r="F63" s="67">
        <v>81</v>
      </c>
      <c r="G63" s="39">
        <v>66.5</v>
      </c>
      <c r="H63" s="40">
        <v>50.7</v>
      </c>
      <c r="I63" s="49">
        <v>80.2</v>
      </c>
      <c r="J63" s="49">
        <v>89.6</v>
      </c>
      <c r="K63" s="49">
        <v>100</v>
      </c>
      <c r="L63" s="41">
        <v>26.4</v>
      </c>
      <c r="M63" s="50">
        <v>69.3</v>
      </c>
      <c r="N63" s="24" t="s">
        <v>161</v>
      </c>
    </row>
    <row r="64" spans="1:14" ht="21.75" customHeight="1" x14ac:dyDescent="0.3">
      <c r="A64" s="17" t="s">
        <v>289</v>
      </c>
      <c r="B64" s="37" t="s">
        <v>290</v>
      </c>
      <c r="C64" s="66">
        <v>232</v>
      </c>
      <c r="D64" s="66">
        <v>220</v>
      </c>
      <c r="E64" s="66">
        <v>13</v>
      </c>
      <c r="F64" s="66">
        <v>1</v>
      </c>
      <c r="G64" s="40">
        <v>54.2</v>
      </c>
      <c r="H64" s="45">
        <v>9.6999999999999993</v>
      </c>
      <c r="I64" s="45">
        <v>15.5</v>
      </c>
      <c r="J64" s="41">
        <v>20.100000000000001</v>
      </c>
      <c r="K64" s="41">
        <v>32.9</v>
      </c>
      <c r="L64" s="45">
        <v>6</v>
      </c>
      <c r="M64" s="46">
        <v>24.2</v>
      </c>
      <c r="N64" s="29" t="s">
        <v>160</v>
      </c>
    </row>
    <row r="65" spans="1:14" ht="21.75" customHeight="1" x14ac:dyDescent="0.3">
      <c r="A65" s="13" t="s">
        <v>291</v>
      </c>
      <c r="B65" s="43" t="s">
        <v>292</v>
      </c>
      <c r="C65" s="67">
        <v>1057</v>
      </c>
      <c r="D65" s="67">
        <v>242</v>
      </c>
      <c r="E65" s="67">
        <v>3</v>
      </c>
      <c r="F65" s="67">
        <v>10</v>
      </c>
      <c r="G65" s="45">
        <v>14.8</v>
      </c>
      <c r="H65" s="41">
        <v>25.3</v>
      </c>
      <c r="I65" s="41">
        <v>24.9</v>
      </c>
      <c r="J65" s="41">
        <v>27.8</v>
      </c>
      <c r="K65" s="41">
        <v>28.4</v>
      </c>
      <c r="L65" s="45">
        <v>4.8</v>
      </c>
      <c r="M65" s="46">
        <v>20.9</v>
      </c>
      <c r="N65" s="29" t="s">
        <v>160</v>
      </c>
    </row>
    <row r="66" spans="1:14" ht="21.75" customHeight="1" x14ac:dyDescent="0.3">
      <c r="A66" s="17" t="s">
        <v>293</v>
      </c>
      <c r="B66" s="37" t="s">
        <v>294</v>
      </c>
      <c r="C66" s="66">
        <v>20427</v>
      </c>
      <c r="D66" s="66">
        <v>4498</v>
      </c>
      <c r="E66" s="66">
        <v>48</v>
      </c>
      <c r="F66" s="66">
        <v>39</v>
      </c>
      <c r="G66" s="41">
        <v>22.6</v>
      </c>
      <c r="H66" s="41">
        <v>29.1</v>
      </c>
      <c r="I66" s="40">
        <v>47.9</v>
      </c>
      <c r="J66" s="41">
        <v>38.6</v>
      </c>
      <c r="K66" s="40">
        <v>47.2</v>
      </c>
      <c r="L66" s="45">
        <v>0.6</v>
      </c>
      <c r="M66" s="46">
        <v>31.4</v>
      </c>
      <c r="N66" s="29" t="s">
        <v>160</v>
      </c>
    </row>
    <row r="67" spans="1:14" ht="21.75" customHeight="1" x14ac:dyDescent="0.3">
      <c r="A67" s="13" t="s">
        <v>295</v>
      </c>
      <c r="B67" s="43" t="s">
        <v>296</v>
      </c>
      <c r="C67" s="67">
        <v>0</v>
      </c>
      <c r="D67" s="44">
        <v>0</v>
      </c>
      <c r="E67" s="67">
        <v>0</v>
      </c>
      <c r="F67" s="67">
        <v>0</v>
      </c>
      <c r="G67" s="39">
        <v>74.599999999999994</v>
      </c>
      <c r="H67" s="41">
        <v>24.3</v>
      </c>
      <c r="I67" s="45">
        <v>17.5</v>
      </c>
      <c r="J67" s="40">
        <v>47.4</v>
      </c>
      <c r="K67" s="41">
        <v>33.799999999999997</v>
      </c>
      <c r="L67" s="41">
        <v>29.4</v>
      </c>
      <c r="M67" s="46">
        <v>38.700000000000003</v>
      </c>
      <c r="N67" s="29" t="s">
        <v>160</v>
      </c>
    </row>
    <row r="68" spans="1:14" ht="21.75" customHeight="1" x14ac:dyDescent="0.3">
      <c r="A68" s="17" t="s">
        <v>297</v>
      </c>
      <c r="B68" s="37" t="s">
        <v>298</v>
      </c>
      <c r="C68" s="66">
        <v>10760</v>
      </c>
      <c r="D68" s="66">
        <v>1424</v>
      </c>
      <c r="E68" s="66">
        <v>2022</v>
      </c>
      <c r="F68" s="66">
        <v>857</v>
      </c>
      <c r="G68" s="49">
        <v>100</v>
      </c>
      <c r="H68" s="39">
        <v>70.900000000000006</v>
      </c>
      <c r="I68" s="49">
        <v>84.8</v>
      </c>
      <c r="J68" s="49">
        <v>100</v>
      </c>
      <c r="K68" s="39">
        <v>71.2</v>
      </c>
      <c r="L68" s="39">
        <v>71.2</v>
      </c>
      <c r="M68" s="51">
        <v>84</v>
      </c>
      <c r="N68" s="52" t="s">
        <v>274</v>
      </c>
    </row>
  </sheetData>
  <mergeCells count="2">
    <mergeCell ref="A2:N2"/>
    <mergeCell ref="A1:N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1ABC9C"/>
  </sheetPr>
  <dimension ref="A1:J68"/>
  <sheetViews>
    <sheetView showGridLines="0" zoomScaleNormal="100" workbookViewId="0">
      <pane xSplit="2" ySplit="3" topLeftCell="C64" activePane="bottomRight" state="frozen"/>
      <selection pane="topRight" activeCell="C1" sqref="C1"/>
      <selection pane="bottomLeft" activeCell="A4" sqref="A4"/>
      <selection pane="bottomRight" activeCell="D21" sqref="D21"/>
    </sheetView>
  </sheetViews>
  <sheetFormatPr defaultColWidth="8.6640625" defaultRowHeight="14.4" x14ac:dyDescent="0.3"/>
  <cols>
    <col min="1" max="1" width="22" customWidth="1"/>
    <col min="2" max="2" width="7" customWidth="1"/>
    <col min="3" max="7" width="8" customWidth="1"/>
    <col min="8" max="8" width="9" customWidth="1"/>
    <col min="9" max="9" width="10" customWidth="1"/>
    <col min="10" max="10" width="11" customWidth="1"/>
  </cols>
  <sheetData>
    <row r="1" spans="1:10" ht="31.5" customHeight="1" x14ac:dyDescent="0.3">
      <c r="A1" s="130" t="s">
        <v>299</v>
      </c>
      <c r="B1" s="118"/>
      <c r="C1" s="118"/>
      <c r="D1" s="118"/>
      <c r="E1" s="118"/>
      <c r="F1" s="118"/>
      <c r="G1" s="118"/>
      <c r="H1" s="118"/>
      <c r="I1" s="118"/>
      <c r="J1" s="118"/>
    </row>
    <row r="2" spans="1:10" ht="19.5" customHeight="1" x14ac:dyDescent="0.3">
      <c r="A2" s="129" t="s">
        <v>865</v>
      </c>
      <c r="B2" s="118"/>
      <c r="C2" s="118"/>
      <c r="D2" s="118"/>
      <c r="E2" s="118"/>
      <c r="F2" s="118"/>
      <c r="G2" s="118"/>
      <c r="H2" s="118"/>
      <c r="I2" s="118"/>
      <c r="J2" s="118"/>
    </row>
    <row r="3" spans="1:10" ht="31.5" customHeight="1" x14ac:dyDescent="0.3">
      <c r="A3" s="30" t="s">
        <v>166</v>
      </c>
      <c r="B3" s="30" t="s">
        <v>167</v>
      </c>
      <c r="C3" s="30" t="s">
        <v>300</v>
      </c>
      <c r="D3" s="30" t="s">
        <v>301</v>
      </c>
      <c r="E3" s="30" t="s">
        <v>302</v>
      </c>
      <c r="F3" s="30" t="s">
        <v>303</v>
      </c>
      <c r="G3" s="30" t="s">
        <v>304</v>
      </c>
      <c r="H3" s="30" t="s">
        <v>305</v>
      </c>
      <c r="I3" s="30" t="s">
        <v>178</v>
      </c>
      <c r="J3" s="30" t="s">
        <v>6</v>
      </c>
    </row>
    <row r="4" spans="1:10" ht="21.75" customHeight="1" x14ac:dyDescent="0.3">
      <c r="A4" s="17" t="s">
        <v>179</v>
      </c>
      <c r="B4" s="37" t="s">
        <v>180</v>
      </c>
      <c r="C4" s="39">
        <v>78.5</v>
      </c>
      <c r="D4" s="40">
        <v>41.3</v>
      </c>
      <c r="E4" s="40">
        <v>49.2</v>
      </c>
      <c r="F4" s="39">
        <v>67.400000000000006</v>
      </c>
      <c r="G4" s="39">
        <v>68.2</v>
      </c>
      <c r="H4" s="41">
        <v>26.9</v>
      </c>
      <c r="I4" s="42">
        <v>56.1</v>
      </c>
      <c r="J4" s="28" t="s">
        <v>162</v>
      </c>
    </row>
    <row r="5" spans="1:10" ht="21.75" customHeight="1" x14ac:dyDescent="0.3">
      <c r="A5" s="13" t="s">
        <v>130</v>
      </c>
      <c r="B5" s="43" t="s">
        <v>181</v>
      </c>
      <c r="C5" s="40">
        <v>52.8</v>
      </c>
      <c r="D5" s="41">
        <v>38.5</v>
      </c>
      <c r="E5" s="45">
        <v>16.8</v>
      </c>
      <c r="F5" s="40">
        <v>42.8</v>
      </c>
      <c r="G5" s="41">
        <v>22.2</v>
      </c>
      <c r="H5" s="45">
        <v>19.2</v>
      </c>
      <c r="I5" s="46">
        <v>32.299999999999997</v>
      </c>
      <c r="J5" s="29" t="s">
        <v>160</v>
      </c>
    </row>
    <row r="6" spans="1:10" ht="21.75" customHeight="1" x14ac:dyDescent="0.3">
      <c r="A6" s="17" t="s">
        <v>111</v>
      </c>
      <c r="B6" s="37" t="s">
        <v>182</v>
      </c>
      <c r="C6" s="45">
        <v>9</v>
      </c>
      <c r="D6" s="45">
        <v>13</v>
      </c>
      <c r="E6" s="45">
        <v>16.2</v>
      </c>
      <c r="F6" s="45">
        <v>5.8</v>
      </c>
      <c r="G6" s="45">
        <v>19.2</v>
      </c>
      <c r="H6" s="45">
        <v>2.8</v>
      </c>
      <c r="I6" s="47">
        <v>11.2</v>
      </c>
      <c r="J6" s="48" t="s">
        <v>163</v>
      </c>
    </row>
    <row r="7" spans="1:10" ht="21.75" customHeight="1" x14ac:dyDescent="0.3">
      <c r="A7" s="13" t="s">
        <v>183</v>
      </c>
      <c r="B7" s="43" t="s">
        <v>184</v>
      </c>
      <c r="C7" s="41">
        <v>36.1</v>
      </c>
      <c r="D7" s="41">
        <v>32.200000000000003</v>
      </c>
      <c r="E7" s="41">
        <v>24.4</v>
      </c>
      <c r="F7" s="45">
        <v>18.2</v>
      </c>
      <c r="G7" s="41">
        <v>37.200000000000003</v>
      </c>
      <c r="H7" s="45">
        <v>8.8000000000000007</v>
      </c>
      <c r="I7" s="46">
        <v>26.6</v>
      </c>
      <c r="J7" s="29" t="s">
        <v>160</v>
      </c>
    </row>
    <row r="8" spans="1:10" ht="21.75" customHeight="1" x14ac:dyDescent="0.3">
      <c r="A8" s="17" t="s">
        <v>185</v>
      </c>
      <c r="B8" s="37" t="s">
        <v>186</v>
      </c>
      <c r="C8" s="39">
        <v>70.900000000000006</v>
      </c>
      <c r="D8" s="41">
        <v>34.1</v>
      </c>
      <c r="E8" s="41">
        <v>27.6</v>
      </c>
      <c r="F8" s="39">
        <v>60.8</v>
      </c>
      <c r="G8" s="41">
        <v>36.799999999999997</v>
      </c>
      <c r="H8" s="45">
        <v>12</v>
      </c>
      <c r="I8" s="42">
        <v>41.3</v>
      </c>
      <c r="J8" s="28" t="s">
        <v>162</v>
      </c>
    </row>
    <row r="9" spans="1:10" ht="21.75" customHeight="1" x14ac:dyDescent="0.3">
      <c r="A9" s="13" t="s">
        <v>187</v>
      </c>
      <c r="B9" s="43" t="s">
        <v>188</v>
      </c>
      <c r="C9" s="40">
        <v>46.6</v>
      </c>
      <c r="D9" s="45">
        <v>16.5</v>
      </c>
      <c r="E9" s="45">
        <v>15.5</v>
      </c>
      <c r="F9" s="41">
        <v>37.4</v>
      </c>
      <c r="G9" s="45">
        <v>17.5</v>
      </c>
      <c r="H9" s="45">
        <v>14.2</v>
      </c>
      <c r="I9" s="46">
        <v>25.3</v>
      </c>
      <c r="J9" s="29" t="s">
        <v>160</v>
      </c>
    </row>
    <row r="10" spans="1:10" ht="21.75" customHeight="1" x14ac:dyDescent="0.3">
      <c r="A10" s="17" t="s">
        <v>189</v>
      </c>
      <c r="B10" s="37" t="s">
        <v>190</v>
      </c>
      <c r="C10" s="45">
        <v>10.6</v>
      </c>
      <c r="D10" s="41">
        <v>32.799999999999997</v>
      </c>
      <c r="E10" s="45">
        <v>14.8</v>
      </c>
      <c r="F10" s="45">
        <v>6</v>
      </c>
      <c r="G10" s="45">
        <v>17.5</v>
      </c>
      <c r="H10" s="45">
        <v>5</v>
      </c>
      <c r="I10" s="47">
        <v>14.3</v>
      </c>
      <c r="J10" s="48" t="s">
        <v>163</v>
      </c>
    </row>
    <row r="11" spans="1:10" ht="21.75" customHeight="1" x14ac:dyDescent="0.3">
      <c r="A11" s="13" t="s">
        <v>126</v>
      </c>
      <c r="B11" s="43" t="s">
        <v>191</v>
      </c>
      <c r="C11" s="41">
        <v>25.2</v>
      </c>
      <c r="D11" s="41">
        <v>29.1</v>
      </c>
      <c r="E11" s="40">
        <v>43.6</v>
      </c>
      <c r="F11" s="41">
        <v>35.200000000000003</v>
      </c>
      <c r="G11" s="40">
        <v>40.6</v>
      </c>
      <c r="H11" s="45">
        <v>15.8</v>
      </c>
      <c r="I11" s="46">
        <v>31.9</v>
      </c>
      <c r="J11" s="29" t="s">
        <v>160</v>
      </c>
    </row>
    <row r="12" spans="1:10" ht="21.75" customHeight="1" x14ac:dyDescent="0.3">
      <c r="A12" s="17" t="s">
        <v>192</v>
      </c>
      <c r="B12" s="37" t="s">
        <v>193</v>
      </c>
      <c r="C12" s="39">
        <v>78.5</v>
      </c>
      <c r="D12" s="41">
        <v>34.200000000000003</v>
      </c>
      <c r="E12" s="41">
        <v>33.1</v>
      </c>
      <c r="F12" s="39">
        <v>63.4</v>
      </c>
      <c r="G12" s="41">
        <v>38.700000000000003</v>
      </c>
      <c r="H12" s="45">
        <v>18.8</v>
      </c>
      <c r="I12" s="42">
        <v>45.6</v>
      </c>
      <c r="J12" s="28" t="s">
        <v>162</v>
      </c>
    </row>
    <row r="13" spans="1:10" ht="21.75" customHeight="1" x14ac:dyDescent="0.3">
      <c r="A13" s="13" t="s">
        <v>194</v>
      </c>
      <c r="B13" s="43" t="s">
        <v>195</v>
      </c>
      <c r="C13" s="40">
        <v>56.3</v>
      </c>
      <c r="D13" s="41">
        <v>38.9</v>
      </c>
      <c r="E13" s="39">
        <v>70.2</v>
      </c>
      <c r="F13" s="39">
        <v>74.5</v>
      </c>
      <c r="G13" s="39">
        <v>64.400000000000006</v>
      </c>
      <c r="H13" s="41">
        <v>22.7</v>
      </c>
      <c r="I13" s="42">
        <v>55.4</v>
      </c>
      <c r="J13" s="28" t="s">
        <v>162</v>
      </c>
    </row>
    <row r="14" spans="1:10" ht="21.75" customHeight="1" x14ac:dyDescent="0.3">
      <c r="A14" s="17" t="s">
        <v>196</v>
      </c>
      <c r="B14" s="37" t="s">
        <v>197</v>
      </c>
      <c r="C14" s="41">
        <v>25.7</v>
      </c>
      <c r="D14" s="41">
        <v>34.299999999999997</v>
      </c>
      <c r="E14" s="41">
        <v>31.1</v>
      </c>
      <c r="F14" s="45">
        <v>13.6</v>
      </c>
      <c r="G14" s="40">
        <v>44.4</v>
      </c>
      <c r="H14" s="45">
        <v>15.8</v>
      </c>
      <c r="I14" s="46">
        <v>27.6</v>
      </c>
      <c r="J14" s="29" t="s">
        <v>160</v>
      </c>
    </row>
    <row r="15" spans="1:10" ht="21.75" customHeight="1" x14ac:dyDescent="0.3">
      <c r="A15" s="13" t="s">
        <v>198</v>
      </c>
      <c r="B15" s="43" t="s">
        <v>199</v>
      </c>
      <c r="C15" s="39">
        <v>77.2</v>
      </c>
      <c r="D15" s="45">
        <v>2.9</v>
      </c>
      <c r="E15" s="40">
        <v>43.8</v>
      </c>
      <c r="F15" s="40">
        <v>40.9</v>
      </c>
      <c r="G15" s="40">
        <v>49.9</v>
      </c>
      <c r="H15" s="45">
        <v>0</v>
      </c>
      <c r="I15" s="46">
        <v>38.299999999999997</v>
      </c>
      <c r="J15" s="29" t="s">
        <v>160</v>
      </c>
    </row>
    <row r="16" spans="1:10" ht="21.75" customHeight="1" x14ac:dyDescent="0.3">
      <c r="A16" s="17" t="s">
        <v>200</v>
      </c>
      <c r="B16" s="37" t="s">
        <v>201</v>
      </c>
      <c r="C16" s="45">
        <v>0.2</v>
      </c>
      <c r="D16" s="45">
        <v>11.9</v>
      </c>
      <c r="E16" s="45">
        <v>8.9</v>
      </c>
      <c r="F16" s="45">
        <v>5.2</v>
      </c>
      <c r="G16" s="45">
        <v>16.5</v>
      </c>
      <c r="H16" s="45">
        <v>1.8</v>
      </c>
      <c r="I16" s="47">
        <v>7.1</v>
      </c>
      <c r="J16" s="48" t="s">
        <v>163</v>
      </c>
    </row>
    <row r="17" spans="1:10" ht="21.75" customHeight="1" x14ac:dyDescent="0.3">
      <c r="A17" s="13" t="s">
        <v>202</v>
      </c>
      <c r="B17" s="43" t="s">
        <v>203</v>
      </c>
      <c r="C17" s="39">
        <v>78.5</v>
      </c>
      <c r="D17" s="49">
        <v>80.900000000000006</v>
      </c>
      <c r="E17" s="41">
        <v>27.7</v>
      </c>
      <c r="F17" s="39">
        <v>73.400000000000006</v>
      </c>
      <c r="G17" s="41">
        <v>37.200000000000003</v>
      </c>
      <c r="H17" s="39">
        <v>61.8</v>
      </c>
      <c r="I17" s="42">
        <v>59.2</v>
      </c>
      <c r="J17" s="28" t="s">
        <v>162</v>
      </c>
    </row>
    <row r="18" spans="1:10" ht="21.75" customHeight="1" x14ac:dyDescent="0.3">
      <c r="A18" s="17" t="s">
        <v>204</v>
      </c>
      <c r="B18" s="37" t="s">
        <v>205</v>
      </c>
      <c r="C18" s="40">
        <v>48.8</v>
      </c>
      <c r="D18" s="41">
        <v>27.6</v>
      </c>
      <c r="E18" s="41">
        <v>28.4</v>
      </c>
      <c r="F18" s="40">
        <v>43.6</v>
      </c>
      <c r="G18" s="41">
        <v>26.9</v>
      </c>
      <c r="H18" s="41">
        <v>22.3</v>
      </c>
      <c r="I18" s="46">
        <v>33.5</v>
      </c>
      <c r="J18" s="29" t="s">
        <v>160</v>
      </c>
    </row>
    <row r="19" spans="1:10" ht="21.75" customHeight="1" x14ac:dyDescent="0.3">
      <c r="A19" s="13" t="s">
        <v>69</v>
      </c>
      <c r="B19" s="43" t="s">
        <v>206</v>
      </c>
      <c r="C19" s="49">
        <v>91.1</v>
      </c>
      <c r="D19" s="40">
        <v>46</v>
      </c>
      <c r="E19" s="41">
        <v>36.5</v>
      </c>
      <c r="F19" s="39">
        <v>78</v>
      </c>
      <c r="G19" s="41">
        <v>25.1</v>
      </c>
      <c r="H19" s="41">
        <v>32.200000000000003</v>
      </c>
      <c r="I19" s="42">
        <v>52.7</v>
      </c>
      <c r="J19" s="28" t="s">
        <v>162</v>
      </c>
    </row>
    <row r="20" spans="1:10" ht="21.75" customHeight="1" x14ac:dyDescent="0.3">
      <c r="A20" s="17" t="s">
        <v>207</v>
      </c>
      <c r="B20" s="37" t="s">
        <v>208</v>
      </c>
      <c r="C20" s="49">
        <v>99.9</v>
      </c>
      <c r="D20" s="40">
        <v>59.4</v>
      </c>
      <c r="E20" s="41">
        <v>38.5</v>
      </c>
      <c r="F20" s="49">
        <v>84.8</v>
      </c>
      <c r="G20" s="41">
        <v>33.799999999999997</v>
      </c>
      <c r="H20" s="39">
        <v>78.900000000000006</v>
      </c>
      <c r="I20" s="50">
        <v>66.2</v>
      </c>
      <c r="J20" s="24" t="s">
        <v>161</v>
      </c>
    </row>
    <row r="21" spans="1:10" ht="21.75" customHeight="1" x14ac:dyDescent="0.3">
      <c r="A21" s="13" t="s">
        <v>209</v>
      </c>
      <c r="B21" s="43" t="s">
        <v>210</v>
      </c>
      <c r="C21" s="49">
        <v>83.2</v>
      </c>
      <c r="D21" s="41">
        <v>37.4</v>
      </c>
      <c r="E21" s="40">
        <v>45</v>
      </c>
      <c r="F21" s="49">
        <v>95</v>
      </c>
      <c r="G21" s="40">
        <v>55.2</v>
      </c>
      <c r="H21" s="49">
        <v>84.6</v>
      </c>
      <c r="I21" s="50">
        <v>66.5</v>
      </c>
      <c r="J21" s="24" t="s">
        <v>161</v>
      </c>
    </row>
    <row r="22" spans="1:10" ht="21.75" customHeight="1" x14ac:dyDescent="0.3">
      <c r="A22" s="17" t="s">
        <v>211</v>
      </c>
      <c r="B22" s="37" t="s">
        <v>212</v>
      </c>
      <c r="C22" s="45">
        <v>0.8</v>
      </c>
      <c r="D22" s="41">
        <v>29.4</v>
      </c>
      <c r="E22" s="45">
        <v>8.4</v>
      </c>
      <c r="F22" s="45">
        <v>8.1999999999999993</v>
      </c>
      <c r="G22" s="45">
        <v>13</v>
      </c>
      <c r="H22" s="45">
        <v>5</v>
      </c>
      <c r="I22" s="47">
        <v>10.199999999999999</v>
      </c>
      <c r="J22" s="48" t="s">
        <v>163</v>
      </c>
    </row>
    <row r="23" spans="1:10" ht="21.75" customHeight="1" x14ac:dyDescent="0.3">
      <c r="A23" s="13" t="s">
        <v>213</v>
      </c>
      <c r="B23" s="43" t="s">
        <v>214</v>
      </c>
      <c r="C23" s="41">
        <v>22.3</v>
      </c>
      <c r="D23" s="41">
        <v>26.7</v>
      </c>
      <c r="E23" s="41">
        <v>30.6</v>
      </c>
      <c r="F23" s="41">
        <v>24.2</v>
      </c>
      <c r="G23" s="41">
        <v>30.8</v>
      </c>
      <c r="H23" s="45">
        <v>6.4</v>
      </c>
      <c r="I23" s="46">
        <v>23.8</v>
      </c>
      <c r="J23" s="29" t="s">
        <v>160</v>
      </c>
    </row>
    <row r="24" spans="1:10" ht="21.75" customHeight="1" x14ac:dyDescent="0.3">
      <c r="A24" s="17" t="s">
        <v>215</v>
      </c>
      <c r="B24" s="37" t="s">
        <v>216</v>
      </c>
      <c r="C24" s="40">
        <v>49</v>
      </c>
      <c r="D24" s="41">
        <v>30.7</v>
      </c>
      <c r="E24" s="41">
        <v>34.1</v>
      </c>
      <c r="F24" s="39">
        <v>62.4</v>
      </c>
      <c r="G24" s="41">
        <v>30.6</v>
      </c>
      <c r="H24" s="41">
        <v>21.4</v>
      </c>
      <c r="I24" s="46">
        <v>38.4</v>
      </c>
      <c r="J24" s="29" t="s">
        <v>160</v>
      </c>
    </row>
    <row r="25" spans="1:10" ht="21.75" customHeight="1" x14ac:dyDescent="0.3">
      <c r="A25" s="13" t="s">
        <v>217</v>
      </c>
      <c r="B25" s="43" t="s">
        <v>218</v>
      </c>
      <c r="C25" s="45">
        <v>8.3000000000000007</v>
      </c>
      <c r="D25" s="45">
        <v>14.2</v>
      </c>
      <c r="E25" s="41">
        <v>32.5</v>
      </c>
      <c r="F25" s="45">
        <v>15.4</v>
      </c>
      <c r="G25" s="41">
        <v>30.7</v>
      </c>
      <c r="H25" s="45">
        <v>4.2</v>
      </c>
      <c r="I25" s="47">
        <v>17.8</v>
      </c>
      <c r="J25" s="48" t="s">
        <v>163</v>
      </c>
    </row>
    <row r="26" spans="1:10" ht="21.75" customHeight="1" x14ac:dyDescent="0.3">
      <c r="A26" s="17" t="s">
        <v>219</v>
      </c>
      <c r="B26" s="37" t="s">
        <v>220</v>
      </c>
      <c r="C26" s="49">
        <v>86.8</v>
      </c>
      <c r="D26" s="40">
        <v>45.3</v>
      </c>
      <c r="E26" s="40">
        <v>50.5</v>
      </c>
      <c r="F26" s="49">
        <v>93.8</v>
      </c>
      <c r="G26" s="40">
        <v>41.2</v>
      </c>
      <c r="H26" s="39">
        <v>79.400000000000006</v>
      </c>
      <c r="I26" s="50">
        <v>66.400000000000006</v>
      </c>
      <c r="J26" s="24" t="s">
        <v>161</v>
      </c>
    </row>
    <row r="27" spans="1:10" ht="21.75" customHeight="1" x14ac:dyDescent="0.3">
      <c r="A27" s="13" t="s">
        <v>221</v>
      </c>
      <c r="B27" s="43" t="s">
        <v>222</v>
      </c>
      <c r="C27" s="40">
        <v>54.9</v>
      </c>
      <c r="D27" s="40">
        <v>43.3</v>
      </c>
      <c r="E27" s="39">
        <v>61.8</v>
      </c>
      <c r="F27" s="39">
        <v>70.8</v>
      </c>
      <c r="G27" s="40">
        <v>59.3</v>
      </c>
      <c r="H27" s="41">
        <v>36.1</v>
      </c>
      <c r="I27" s="42">
        <v>54.8</v>
      </c>
      <c r="J27" s="28" t="s">
        <v>162</v>
      </c>
    </row>
    <row r="28" spans="1:10" ht="21.75" customHeight="1" x14ac:dyDescent="0.3">
      <c r="A28" s="17" t="s">
        <v>110</v>
      </c>
      <c r="B28" s="37" t="s">
        <v>223</v>
      </c>
      <c r="C28" s="40">
        <v>55.9</v>
      </c>
      <c r="D28" s="41">
        <v>24</v>
      </c>
      <c r="E28" s="41">
        <v>39.4</v>
      </c>
      <c r="F28" s="39">
        <v>61.4</v>
      </c>
      <c r="G28" s="40">
        <v>42.3</v>
      </c>
      <c r="H28" s="41">
        <v>29</v>
      </c>
      <c r="I28" s="42">
        <v>42.6</v>
      </c>
      <c r="J28" s="28" t="s">
        <v>162</v>
      </c>
    </row>
    <row r="29" spans="1:10" ht="21.75" customHeight="1" x14ac:dyDescent="0.3">
      <c r="A29" s="13" t="s">
        <v>224</v>
      </c>
      <c r="B29" s="43" t="s">
        <v>225</v>
      </c>
      <c r="C29" s="49">
        <v>95.2</v>
      </c>
      <c r="D29" s="41">
        <v>40</v>
      </c>
      <c r="E29" s="39">
        <v>67.599999999999994</v>
      </c>
      <c r="F29" s="49">
        <v>85.3</v>
      </c>
      <c r="G29" s="39">
        <v>60.2</v>
      </c>
      <c r="H29" s="41">
        <v>33.4</v>
      </c>
      <c r="I29" s="50">
        <v>65.400000000000006</v>
      </c>
      <c r="J29" s="24" t="s">
        <v>161</v>
      </c>
    </row>
    <row r="30" spans="1:10" ht="21.75" customHeight="1" x14ac:dyDescent="0.3">
      <c r="A30" s="17" t="s">
        <v>226</v>
      </c>
      <c r="B30" s="37" t="s">
        <v>227</v>
      </c>
      <c r="C30" s="49">
        <v>83.1</v>
      </c>
      <c r="D30" s="40">
        <v>48.1</v>
      </c>
      <c r="E30" s="39">
        <v>68</v>
      </c>
      <c r="F30" s="49">
        <v>92</v>
      </c>
      <c r="G30" s="40">
        <v>54.3</v>
      </c>
      <c r="H30" s="41">
        <v>28.4</v>
      </c>
      <c r="I30" s="50">
        <v>63.6</v>
      </c>
      <c r="J30" s="24" t="s">
        <v>161</v>
      </c>
    </row>
    <row r="31" spans="1:10" ht="21.75" customHeight="1" x14ac:dyDescent="0.3">
      <c r="A31" s="13" t="s">
        <v>228</v>
      </c>
      <c r="B31" s="43" t="s">
        <v>229</v>
      </c>
      <c r="C31" s="41">
        <v>26.8</v>
      </c>
      <c r="D31" s="45">
        <v>17.5</v>
      </c>
      <c r="E31" s="49">
        <v>90.2</v>
      </c>
      <c r="F31" s="39">
        <v>60.8</v>
      </c>
      <c r="G31" s="49">
        <v>86.3</v>
      </c>
      <c r="H31" s="45">
        <v>3.6</v>
      </c>
      <c r="I31" s="42">
        <v>48.6</v>
      </c>
      <c r="J31" s="28" t="s">
        <v>162</v>
      </c>
    </row>
    <row r="32" spans="1:10" ht="21.75" customHeight="1" x14ac:dyDescent="0.3">
      <c r="A32" s="17" t="s">
        <v>230</v>
      </c>
      <c r="B32" s="37" t="s">
        <v>231</v>
      </c>
      <c r="C32" s="40">
        <v>42.7</v>
      </c>
      <c r="D32" s="41">
        <v>34</v>
      </c>
      <c r="E32" s="41">
        <v>37.6</v>
      </c>
      <c r="F32" s="40">
        <v>42</v>
      </c>
      <c r="G32" s="41">
        <v>39.4</v>
      </c>
      <c r="H32" s="41">
        <v>24.6</v>
      </c>
      <c r="I32" s="46">
        <v>37.1</v>
      </c>
      <c r="J32" s="29" t="s">
        <v>160</v>
      </c>
    </row>
    <row r="33" spans="1:10" ht="21.75" customHeight="1" x14ac:dyDescent="0.3">
      <c r="A33" s="13" t="s">
        <v>232</v>
      </c>
      <c r="B33" s="43" t="s">
        <v>233</v>
      </c>
      <c r="C33" s="45">
        <v>14</v>
      </c>
      <c r="D33" s="40">
        <v>42.7</v>
      </c>
      <c r="E33" s="45">
        <v>6.4</v>
      </c>
      <c r="F33" s="45">
        <v>9.4</v>
      </c>
      <c r="G33" s="45">
        <v>8.6</v>
      </c>
      <c r="H33" s="45">
        <v>10.199999999999999</v>
      </c>
      <c r="I33" s="47">
        <v>14.7</v>
      </c>
      <c r="J33" s="48" t="s">
        <v>163</v>
      </c>
    </row>
    <row r="34" spans="1:10" ht="21.75" customHeight="1" x14ac:dyDescent="0.3">
      <c r="A34" s="17" t="s">
        <v>234</v>
      </c>
      <c r="B34" s="37" t="s">
        <v>235</v>
      </c>
      <c r="C34" s="40">
        <v>59.9</v>
      </c>
      <c r="D34" s="39">
        <v>62.2</v>
      </c>
      <c r="E34" s="40">
        <v>40.4</v>
      </c>
      <c r="F34" s="39">
        <v>60.2</v>
      </c>
      <c r="G34" s="40">
        <v>49.2</v>
      </c>
      <c r="H34" s="41">
        <v>28.6</v>
      </c>
      <c r="I34" s="42">
        <v>50.1</v>
      </c>
      <c r="J34" s="28" t="s">
        <v>162</v>
      </c>
    </row>
    <row r="35" spans="1:10" ht="21.75" customHeight="1" x14ac:dyDescent="0.3">
      <c r="A35" s="13" t="s">
        <v>236</v>
      </c>
      <c r="B35" s="43" t="s">
        <v>237</v>
      </c>
      <c r="C35" s="39">
        <v>63.9</v>
      </c>
      <c r="D35" s="45">
        <v>9.1999999999999993</v>
      </c>
      <c r="E35" s="45">
        <v>17.2</v>
      </c>
      <c r="F35" s="41">
        <v>35</v>
      </c>
      <c r="G35" s="45">
        <v>19.2</v>
      </c>
      <c r="H35" s="45">
        <v>10.9</v>
      </c>
      <c r="I35" s="46">
        <v>27.4</v>
      </c>
      <c r="J35" s="29" t="s">
        <v>160</v>
      </c>
    </row>
    <row r="36" spans="1:10" ht="21.75" customHeight="1" x14ac:dyDescent="0.3">
      <c r="A36" s="17" t="s">
        <v>238</v>
      </c>
      <c r="B36" s="37" t="s">
        <v>239</v>
      </c>
      <c r="C36" s="49">
        <v>94</v>
      </c>
      <c r="D36" s="39">
        <v>68.400000000000006</v>
      </c>
      <c r="E36" s="40">
        <v>45.1</v>
      </c>
      <c r="F36" s="49">
        <v>93.7</v>
      </c>
      <c r="G36" s="40">
        <v>57</v>
      </c>
      <c r="H36" s="40">
        <v>53</v>
      </c>
      <c r="I36" s="50">
        <v>68.599999999999994</v>
      </c>
      <c r="J36" s="24" t="s">
        <v>161</v>
      </c>
    </row>
    <row r="37" spans="1:10" ht="21.75" customHeight="1" x14ac:dyDescent="0.3">
      <c r="A37" s="13" t="s">
        <v>240</v>
      </c>
      <c r="B37" s="43" t="s">
        <v>241</v>
      </c>
      <c r="C37" s="39">
        <v>66.400000000000006</v>
      </c>
      <c r="D37" s="40">
        <v>41.7</v>
      </c>
      <c r="E37" s="41">
        <v>35.9</v>
      </c>
      <c r="F37" s="39">
        <v>76</v>
      </c>
      <c r="G37" s="40">
        <v>40.799999999999997</v>
      </c>
      <c r="H37" s="49">
        <v>99.8</v>
      </c>
      <c r="I37" s="42">
        <v>59.2</v>
      </c>
      <c r="J37" s="28" t="s">
        <v>162</v>
      </c>
    </row>
    <row r="38" spans="1:10" ht="21.75" customHeight="1" x14ac:dyDescent="0.3">
      <c r="A38" s="17" t="s">
        <v>242</v>
      </c>
      <c r="B38" s="37" t="s">
        <v>243</v>
      </c>
      <c r="C38" s="40">
        <v>42.8</v>
      </c>
      <c r="D38" s="41">
        <v>29.1</v>
      </c>
      <c r="E38" s="45">
        <v>14.9</v>
      </c>
      <c r="F38" s="40">
        <v>42.1</v>
      </c>
      <c r="G38" s="45">
        <v>20</v>
      </c>
      <c r="H38" s="45">
        <v>18.8</v>
      </c>
      <c r="I38" s="46">
        <v>28</v>
      </c>
      <c r="J38" s="29" t="s">
        <v>160</v>
      </c>
    </row>
    <row r="39" spans="1:10" ht="21.75" customHeight="1" x14ac:dyDescent="0.3">
      <c r="A39" s="13" t="s">
        <v>118</v>
      </c>
      <c r="B39" s="43" t="s">
        <v>244</v>
      </c>
      <c r="C39" s="39">
        <v>67.5</v>
      </c>
      <c r="D39" s="41">
        <v>22.6</v>
      </c>
      <c r="E39" s="40">
        <v>41.9</v>
      </c>
      <c r="F39" s="39">
        <v>67.599999999999994</v>
      </c>
      <c r="G39" s="40">
        <v>51.7</v>
      </c>
      <c r="H39" s="45">
        <v>18.3</v>
      </c>
      <c r="I39" s="42">
        <v>45.9</v>
      </c>
      <c r="J39" s="28" t="s">
        <v>162</v>
      </c>
    </row>
    <row r="40" spans="1:10" ht="21.75" customHeight="1" x14ac:dyDescent="0.3">
      <c r="A40" s="17" t="s">
        <v>245</v>
      </c>
      <c r="B40" s="37" t="s">
        <v>246</v>
      </c>
      <c r="C40" s="39">
        <v>67.5</v>
      </c>
      <c r="D40" s="40">
        <v>44.2</v>
      </c>
      <c r="E40" s="40">
        <v>41.7</v>
      </c>
      <c r="F40" s="39">
        <v>62.2</v>
      </c>
      <c r="G40" s="40">
        <v>46.5</v>
      </c>
      <c r="H40" s="41">
        <v>29.4</v>
      </c>
      <c r="I40" s="42">
        <v>49.2</v>
      </c>
      <c r="J40" s="28" t="s">
        <v>162</v>
      </c>
    </row>
    <row r="41" spans="1:10" ht="21.75" customHeight="1" x14ac:dyDescent="0.3">
      <c r="A41" s="13" t="s">
        <v>247</v>
      </c>
      <c r="B41" s="43" t="s">
        <v>248</v>
      </c>
      <c r="C41" s="39">
        <v>78.599999999999994</v>
      </c>
      <c r="D41" s="40">
        <v>50.9</v>
      </c>
      <c r="E41" s="40">
        <v>54.4</v>
      </c>
      <c r="F41" s="49">
        <v>87.9</v>
      </c>
      <c r="G41" s="40">
        <v>44.6</v>
      </c>
      <c r="H41" s="49">
        <v>100</v>
      </c>
      <c r="I41" s="50">
        <v>69.099999999999994</v>
      </c>
      <c r="J41" s="24" t="s">
        <v>161</v>
      </c>
    </row>
    <row r="42" spans="1:10" ht="21.75" customHeight="1" x14ac:dyDescent="0.3">
      <c r="A42" s="17" t="s">
        <v>249</v>
      </c>
      <c r="B42" s="37" t="s">
        <v>250</v>
      </c>
      <c r="C42" s="40">
        <v>43.1</v>
      </c>
      <c r="D42" s="40">
        <v>58.8</v>
      </c>
      <c r="E42" s="41">
        <v>24.9</v>
      </c>
      <c r="F42" s="41">
        <v>37.299999999999997</v>
      </c>
      <c r="G42" s="41">
        <v>27</v>
      </c>
      <c r="H42" s="39">
        <v>67.400000000000006</v>
      </c>
      <c r="I42" s="42">
        <v>42.2</v>
      </c>
      <c r="J42" s="28" t="s">
        <v>162</v>
      </c>
    </row>
    <row r="43" spans="1:10" ht="21.75" customHeight="1" x14ac:dyDescent="0.3">
      <c r="A43" s="13" t="s">
        <v>106</v>
      </c>
      <c r="B43" s="43" t="s">
        <v>251</v>
      </c>
      <c r="C43" s="49">
        <v>98.6</v>
      </c>
      <c r="D43" s="45">
        <v>9.1</v>
      </c>
      <c r="E43" s="40">
        <v>50.4</v>
      </c>
      <c r="F43" s="39">
        <v>72.599999999999994</v>
      </c>
      <c r="G43" s="41">
        <v>36.299999999999997</v>
      </c>
      <c r="H43" s="49">
        <v>80.099999999999994</v>
      </c>
      <c r="I43" s="42">
        <v>59.5</v>
      </c>
      <c r="J43" s="28" t="s">
        <v>162</v>
      </c>
    </row>
    <row r="44" spans="1:10" ht="21.75" customHeight="1" x14ac:dyDescent="0.3">
      <c r="A44" s="17" t="s">
        <v>252</v>
      </c>
      <c r="B44" s="37" t="s">
        <v>253</v>
      </c>
      <c r="C44" s="45">
        <v>2.2000000000000002</v>
      </c>
      <c r="D44" s="45">
        <v>13.4</v>
      </c>
      <c r="E44" s="45">
        <v>14.2</v>
      </c>
      <c r="F44" s="45">
        <v>4.2</v>
      </c>
      <c r="G44" s="45">
        <v>17.2</v>
      </c>
      <c r="H44" s="45">
        <v>0</v>
      </c>
      <c r="I44" s="47">
        <v>8.5</v>
      </c>
      <c r="J44" s="48" t="s">
        <v>163</v>
      </c>
    </row>
    <row r="45" spans="1:10" ht="21.75" customHeight="1" x14ac:dyDescent="0.3">
      <c r="A45" s="13" t="s">
        <v>254</v>
      </c>
      <c r="B45" s="43" t="s">
        <v>255</v>
      </c>
      <c r="C45" s="39">
        <v>65.5</v>
      </c>
      <c r="D45" s="45">
        <v>18</v>
      </c>
      <c r="E45" s="40">
        <v>40.1</v>
      </c>
      <c r="F45" s="41">
        <v>29.3</v>
      </c>
      <c r="G45" s="40">
        <v>53.9</v>
      </c>
      <c r="H45" s="45">
        <v>15.2</v>
      </c>
      <c r="I45" s="46">
        <v>38.6</v>
      </c>
      <c r="J45" s="29" t="s">
        <v>160</v>
      </c>
    </row>
    <row r="46" spans="1:10" ht="21.75" customHeight="1" x14ac:dyDescent="0.3">
      <c r="A46" s="17" t="s">
        <v>77</v>
      </c>
      <c r="B46" s="37" t="s">
        <v>256</v>
      </c>
      <c r="C46" s="40">
        <v>48.4</v>
      </c>
      <c r="D46" s="41">
        <v>28.3</v>
      </c>
      <c r="E46" s="41">
        <v>33.4</v>
      </c>
      <c r="F46" s="41">
        <v>37.4</v>
      </c>
      <c r="G46" s="40">
        <v>42.5</v>
      </c>
      <c r="H46" s="45">
        <v>20</v>
      </c>
      <c r="I46" s="46">
        <v>35.6</v>
      </c>
      <c r="J46" s="29" t="s">
        <v>160</v>
      </c>
    </row>
    <row r="47" spans="1:10" ht="21.75" customHeight="1" x14ac:dyDescent="0.3">
      <c r="A47" s="13" t="s">
        <v>257</v>
      </c>
      <c r="B47" s="43" t="s">
        <v>258</v>
      </c>
      <c r="C47" s="40">
        <v>59.1</v>
      </c>
      <c r="D47" s="41">
        <v>32.4</v>
      </c>
      <c r="E47" s="40">
        <v>49.5</v>
      </c>
      <c r="F47" s="39">
        <v>71.5</v>
      </c>
      <c r="G47" s="40">
        <v>45.8</v>
      </c>
      <c r="H47" s="41">
        <v>35.4</v>
      </c>
      <c r="I47" s="42">
        <v>49.5</v>
      </c>
      <c r="J47" s="28" t="s">
        <v>162</v>
      </c>
    </row>
    <row r="48" spans="1:10" ht="21.75" customHeight="1" x14ac:dyDescent="0.3">
      <c r="A48" s="17" t="s">
        <v>259</v>
      </c>
      <c r="B48" s="37" t="s">
        <v>260</v>
      </c>
      <c r="C48" s="41">
        <v>33.799999999999997</v>
      </c>
      <c r="D48" s="45">
        <v>18.7</v>
      </c>
      <c r="E48" s="41">
        <v>30</v>
      </c>
      <c r="F48" s="41">
        <v>28.4</v>
      </c>
      <c r="G48" s="40">
        <v>41.4</v>
      </c>
      <c r="H48" s="45">
        <v>11.5</v>
      </c>
      <c r="I48" s="46">
        <v>27.8</v>
      </c>
      <c r="J48" s="29" t="s">
        <v>160</v>
      </c>
    </row>
    <row r="49" spans="1:10" ht="21.75" customHeight="1" x14ac:dyDescent="0.3">
      <c r="A49" s="13" t="s">
        <v>261</v>
      </c>
      <c r="B49" s="43" t="s">
        <v>262</v>
      </c>
      <c r="C49" s="41">
        <v>25.5</v>
      </c>
      <c r="D49" s="41">
        <v>25.6</v>
      </c>
      <c r="E49" s="45">
        <v>9.4</v>
      </c>
      <c r="F49" s="45">
        <v>13.4</v>
      </c>
      <c r="G49" s="45">
        <v>14.2</v>
      </c>
      <c r="H49" s="45">
        <v>10.199999999999999</v>
      </c>
      <c r="I49" s="47">
        <v>16.5</v>
      </c>
      <c r="J49" s="48" t="s">
        <v>163</v>
      </c>
    </row>
    <row r="50" spans="1:10" ht="21.75" customHeight="1" x14ac:dyDescent="0.3">
      <c r="A50" s="17" t="s">
        <v>263</v>
      </c>
      <c r="B50" s="37" t="s">
        <v>264</v>
      </c>
      <c r="C50" s="39">
        <v>60.2</v>
      </c>
      <c r="D50" s="45">
        <v>8.1</v>
      </c>
      <c r="E50" s="45">
        <v>10.8</v>
      </c>
      <c r="F50" s="45">
        <v>13.4</v>
      </c>
      <c r="G50" s="41">
        <v>30.4</v>
      </c>
      <c r="H50" s="45">
        <v>3.8</v>
      </c>
      <c r="I50" s="46">
        <v>22.6</v>
      </c>
      <c r="J50" s="29" t="s">
        <v>160</v>
      </c>
    </row>
    <row r="51" spans="1:10" ht="21.75" customHeight="1" x14ac:dyDescent="0.3">
      <c r="A51" s="13" t="s">
        <v>265</v>
      </c>
      <c r="B51" s="43" t="s">
        <v>266</v>
      </c>
      <c r="C51" s="40">
        <v>42.2</v>
      </c>
      <c r="D51" s="41">
        <v>24.6</v>
      </c>
      <c r="E51" s="41">
        <v>22.8</v>
      </c>
      <c r="F51" s="41">
        <v>37.5</v>
      </c>
      <c r="G51" s="41">
        <v>25.6</v>
      </c>
      <c r="H51" s="45">
        <v>13.4</v>
      </c>
      <c r="I51" s="46">
        <v>28.2</v>
      </c>
      <c r="J51" s="29" t="s">
        <v>160</v>
      </c>
    </row>
    <row r="52" spans="1:10" ht="21.75" customHeight="1" x14ac:dyDescent="0.3">
      <c r="A52" s="17" t="s">
        <v>133</v>
      </c>
      <c r="B52" s="37" t="s">
        <v>267</v>
      </c>
      <c r="C52" s="49">
        <v>89.6</v>
      </c>
      <c r="D52" s="45">
        <v>14</v>
      </c>
      <c r="E52" s="49">
        <v>91.8</v>
      </c>
      <c r="F52" s="39">
        <v>79.5</v>
      </c>
      <c r="G52" s="49">
        <v>92</v>
      </c>
      <c r="H52" s="45">
        <v>16.7</v>
      </c>
      <c r="I52" s="50">
        <v>66.599999999999994</v>
      </c>
      <c r="J52" s="24" t="s">
        <v>161</v>
      </c>
    </row>
    <row r="53" spans="1:10" ht="21.75" customHeight="1" x14ac:dyDescent="0.3">
      <c r="A53" s="13" t="s">
        <v>268</v>
      </c>
      <c r="B53" s="43" t="s">
        <v>269</v>
      </c>
      <c r="C53" s="39">
        <v>72.7</v>
      </c>
      <c r="D53" s="45">
        <v>13.4</v>
      </c>
      <c r="E53" s="40">
        <v>40.9</v>
      </c>
      <c r="F53" s="40">
        <v>54.6</v>
      </c>
      <c r="G53" s="39">
        <v>63.3</v>
      </c>
      <c r="H53" s="45">
        <v>9.6</v>
      </c>
      <c r="I53" s="42">
        <v>43.9</v>
      </c>
      <c r="J53" s="28" t="s">
        <v>162</v>
      </c>
    </row>
    <row r="54" spans="1:10" ht="21.75" customHeight="1" x14ac:dyDescent="0.3">
      <c r="A54" s="17" t="s">
        <v>270</v>
      </c>
      <c r="B54" s="37" t="s">
        <v>271</v>
      </c>
      <c r="C54" s="41">
        <v>21.8</v>
      </c>
      <c r="D54" s="41">
        <v>36.799999999999997</v>
      </c>
      <c r="E54" s="41">
        <v>30.1</v>
      </c>
      <c r="F54" s="45">
        <v>4.8</v>
      </c>
      <c r="G54" s="40">
        <v>45.1</v>
      </c>
      <c r="H54" s="45">
        <v>0</v>
      </c>
      <c r="I54" s="46">
        <v>23.4</v>
      </c>
      <c r="J54" s="29" t="s">
        <v>160</v>
      </c>
    </row>
    <row r="55" spans="1:10" ht="21.75" customHeight="1" x14ac:dyDescent="0.3">
      <c r="A55" s="13" t="s">
        <v>272</v>
      </c>
      <c r="B55" s="43" t="s">
        <v>273</v>
      </c>
      <c r="C55" s="49">
        <v>91.2</v>
      </c>
      <c r="D55" s="49">
        <v>90.2</v>
      </c>
      <c r="E55" s="49">
        <v>92.6</v>
      </c>
      <c r="F55" s="49">
        <v>99.9</v>
      </c>
      <c r="G55" s="49">
        <v>94.2</v>
      </c>
      <c r="H55" s="49">
        <v>92.9</v>
      </c>
      <c r="I55" s="51">
        <v>93.3</v>
      </c>
      <c r="J55" s="52" t="s">
        <v>274</v>
      </c>
    </row>
    <row r="56" spans="1:10" ht="21.75" customHeight="1" x14ac:dyDescent="0.3">
      <c r="A56" s="17" t="s">
        <v>91</v>
      </c>
      <c r="B56" s="37" t="s">
        <v>275</v>
      </c>
      <c r="C56" s="40">
        <v>47.1</v>
      </c>
      <c r="D56" s="39">
        <v>63.8</v>
      </c>
      <c r="E56" s="41">
        <v>39.4</v>
      </c>
      <c r="F56" s="39">
        <v>69.900000000000006</v>
      </c>
      <c r="G56" s="41">
        <v>34.4</v>
      </c>
      <c r="H56" s="41">
        <v>37.6</v>
      </c>
      <c r="I56" s="42">
        <v>48.2</v>
      </c>
      <c r="J56" s="28" t="s">
        <v>162</v>
      </c>
    </row>
    <row r="57" spans="1:10" ht="21.75" customHeight="1" x14ac:dyDescent="0.3">
      <c r="A57" s="13" t="s">
        <v>276</v>
      </c>
      <c r="B57" s="43" t="s">
        <v>277</v>
      </c>
      <c r="C57" s="41">
        <v>23.4</v>
      </c>
      <c r="D57" s="45">
        <v>13.4</v>
      </c>
      <c r="E57" s="41">
        <v>21.8</v>
      </c>
      <c r="F57" s="45">
        <v>18.2</v>
      </c>
      <c r="G57" s="41">
        <v>34.5</v>
      </c>
      <c r="H57" s="45">
        <v>9.6999999999999993</v>
      </c>
      <c r="I57" s="46">
        <v>20.399999999999999</v>
      </c>
      <c r="J57" s="29" t="s">
        <v>160</v>
      </c>
    </row>
    <row r="58" spans="1:10" ht="21.75" customHeight="1" x14ac:dyDescent="0.3">
      <c r="A58" s="17" t="s">
        <v>278</v>
      </c>
      <c r="B58" s="37" t="s">
        <v>279</v>
      </c>
      <c r="C58" s="41">
        <v>25.1</v>
      </c>
      <c r="D58" s="41">
        <v>32.6</v>
      </c>
      <c r="E58" s="45">
        <v>16.2</v>
      </c>
      <c r="F58" s="41">
        <v>33</v>
      </c>
      <c r="G58" s="41">
        <v>22.4</v>
      </c>
      <c r="H58" s="45">
        <v>8.6999999999999993</v>
      </c>
      <c r="I58" s="46">
        <v>22.8</v>
      </c>
      <c r="J58" s="29" t="s">
        <v>160</v>
      </c>
    </row>
    <row r="59" spans="1:10" ht="21.75" customHeight="1" x14ac:dyDescent="0.3">
      <c r="A59" s="13" t="s">
        <v>280</v>
      </c>
      <c r="B59" s="43" t="s">
        <v>281</v>
      </c>
      <c r="C59" s="45">
        <v>3.9</v>
      </c>
      <c r="D59" s="45">
        <v>18.399999999999999</v>
      </c>
      <c r="E59" s="45">
        <v>17.5</v>
      </c>
      <c r="F59" s="45">
        <v>8.8000000000000007</v>
      </c>
      <c r="G59" s="45">
        <v>17.5</v>
      </c>
      <c r="H59" s="45">
        <v>3.4</v>
      </c>
      <c r="I59" s="47">
        <v>11.5</v>
      </c>
      <c r="J59" s="48" t="s">
        <v>163</v>
      </c>
    </row>
    <row r="60" spans="1:10" ht="21.75" customHeight="1" x14ac:dyDescent="0.3">
      <c r="A60" s="17" t="s">
        <v>282</v>
      </c>
      <c r="B60" s="37" t="s">
        <v>283</v>
      </c>
      <c r="C60" s="45">
        <v>11.2</v>
      </c>
      <c r="D60" s="45">
        <v>14.3</v>
      </c>
      <c r="E60" s="41">
        <v>22.6</v>
      </c>
      <c r="F60" s="45">
        <v>12.4</v>
      </c>
      <c r="G60" s="41">
        <v>25</v>
      </c>
      <c r="H60" s="45">
        <v>17.100000000000001</v>
      </c>
      <c r="I60" s="47">
        <v>17.100000000000001</v>
      </c>
      <c r="J60" s="48" t="s">
        <v>163</v>
      </c>
    </row>
    <row r="61" spans="1:10" ht="21.75" customHeight="1" x14ac:dyDescent="0.3">
      <c r="A61" s="13" t="s">
        <v>284</v>
      </c>
      <c r="B61" s="43" t="s">
        <v>285</v>
      </c>
      <c r="C61" s="40">
        <v>57.2</v>
      </c>
      <c r="D61" s="41">
        <v>27.1</v>
      </c>
      <c r="E61" s="40">
        <v>41.6</v>
      </c>
      <c r="F61" s="40">
        <v>58.4</v>
      </c>
      <c r="G61" s="41">
        <v>37.299999999999997</v>
      </c>
      <c r="H61" s="41">
        <v>25</v>
      </c>
      <c r="I61" s="42">
        <v>41.9</v>
      </c>
      <c r="J61" s="28" t="s">
        <v>162</v>
      </c>
    </row>
    <row r="62" spans="1:10" ht="21.75" customHeight="1" x14ac:dyDescent="0.3">
      <c r="A62" s="17" t="s">
        <v>82</v>
      </c>
      <c r="B62" s="37" t="s">
        <v>286</v>
      </c>
      <c r="C62" s="39">
        <v>77.7</v>
      </c>
      <c r="D62" s="40">
        <v>43.7</v>
      </c>
      <c r="E62" s="39">
        <v>62.9</v>
      </c>
      <c r="F62" s="39">
        <v>79.599999999999994</v>
      </c>
      <c r="G62" s="20" t="s">
        <v>306</v>
      </c>
      <c r="H62" s="45">
        <v>16.399999999999999</v>
      </c>
      <c r="I62" s="42">
        <v>57.7</v>
      </c>
      <c r="J62" s="28" t="s">
        <v>162</v>
      </c>
    </row>
    <row r="63" spans="1:10" ht="21.75" customHeight="1" x14ac:dyDescent="0.3">
      <c r="A63" s="13" t="s">
        <v>287</v>
      </c>
      <c r="B63" s="43" t="s">
        <v>288</v>
      </c>
      <c r="C63" s="39">
        <v>66.5</v>
      </c>
      <c r="D63" s="40">
        <v>50.7</v>
      </c>
      <c r="E63" s="49">
        <v>80.2</v>
      </c>
      <c r="F63" s="49">
        <v>89.6</v>
      </c>
      <c r="G63" s="49">
        <v>100</v>
      </c>
      <c r="H63" s="41">
        <v>26.4</v>
      </c>
      <c r="I63" s="50">
        <v>69.3</v>
      </c>
      <c r="J63" s="24" t="s">
        <v>161</v>
      </c>
    </row>
    <row r="64" spans="1:10" ht="21.75" customHeight="1" x14ac:dyDescent="0.3">
      <c r="A64" s="17" t="s">
        <v>289</v>
      </c>
      <c r="B64" s="37" t="s">
        <v>290</v>
      </c>
      <c r="C64" s="40">
        <v>54.2</v>
      </c>
      <c r="D64" s="45">
        <v>9.6999999999999993</v>
      </c>
      <c r="E64" s="45">
        <v>15.5</v>
      </c>
      <c r="F64" s="41">
        <v>20.100000000000001</v>
      </c>
      <c r="G64" s="41">
        <v>32.9</v>
      </c>
      <c r="H64" s="45">
        <v>6</v>
      </c>
      <c r="I64" s="46">
        <v>24.2</v>
      </c>
      <c r="J64" s="29" t="s">
        <v>160</v>
      </c>
    </row>
    <row r="65" spans="1:10" ht="21.75" customHeight="1" x14ac:dyDescent="0.3">
      <c r="A65" s="13" t="s">
        <v>291</v>
      </c>
      <c r="B65" s="43" t="s">
        <v>292</v>
      </c>
      <c r="C65" s="45">
        <v>14.8</v>
      </c>
      <c r="D65" s="41">
        <v>25.3</v>
      </c>
      <c r="E65" s="41">
        <v>24.9</v>
      </c>
      <c r="F65" s="41">
        <v>27.8</v>
      </c>
      <c r="G65" s="41">
        <v>28.4</v>
      </c>
      <c r="H65" s="45">
        <v>4.8</v>
      </c>
      <c r="I65" s="46">
        <v>20.9</v>
      </c>
      <c r="J65" s="29" t="s">
        <v>160</v>
      </c>
    </row>
    <row r="66" spans="1:10" ht="21.75" customHeight="1" x14ac:dyDescent="0.3">
      <c r="A66" s="17" t="s">
        <v>293</v>
      </c>
      <c r="B66" s="37" t="s">
        <v>294</v>
      </c>
      <c r="C66" s="41">
        <v>22.6</v>
      </c>
      <c r="D66" s="41">
        <v>29.1</v>
      </c>
      <c r="E66" s="40">
        <v>47.9</v>
      </c>
      <c r="F66" s="41">
        <v>38.6</v>
      </c>
      <c r="G66" s="40">
        <v>47.2</v>
      </c>
      <c r="H66" s="45">
        <v>0.6</v>
      </c>
      <c r="I66" s="46">
        <v>31.4</v>
      </c>
      <c r="J66" s="29" t="s">
        <v>160</v>
      </c>
    </row>
    <row r="67" spans="1:10" ht="21.75" customHeight="1" x14ac:dyDescent="0.3">
      <c r="A67" s="13" t="s">
        <v>295</v>
      </c>
      <c r="B67" s="43" t="s">
        <v>296</v>
      </c>
      <c r="C67" s="39">
        <v>74.599999999999994</v>
      </c>
      <c r="D67" s="41">
        <v>24.3</v>
      </c>
      <c r="E67" s="45">
        <v>17.5</v>
      </c>
      <c r="F67" s="40">
        <v>47.4</v>
      </c>
      <c r="G67" s="41">
        <v>33.799999999999997</v>
      </c>
      <c r="H67" s="41">
        <v>29.4</v>
      </c>
      <c r="I67" s="46">
        <v>38.700000000000003</v>
      </c>
      <c r="J67" s="29" t="s">
        <v>160</v>
      </c>
    </row>
    <row r="68" spans="1:10" ht="21.75" customHeight="1" x14ac:dyDescent="0.3">
      <c r="A68" s="17" t="s">
        <v>297</v>
      </c>
      <c r="B68" s="37" t="s">
        <v>298</v>
      </c>
      <c r="C68" s="49">
        <v>100</v>
      </c>
      <c r="D68" s="39">
        <v>70.900000000000006</v>
      </c>
      <c r="E68" s="49">
        <v>84.8</v>
      </c>
      <c r="F68" s="49">
        <v>100</v>
      </c>
      <c r="G68" s="39">
        <v>71.2</v>
      </c>
      <c r="H68" s="39">
        <v>71.2</v>
      </c>
      <c r="I68" s="51">
        <v>84</v>
      </c>
      <c r="J68" s="52" t="s">
        <v>274</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48C9B0"/>
  </sheetPr>
  <dimension ref="A1:Q68"/>
  <sheetViews>
    <sheetView showGridLines="0" zoomScaleNormal="100" workbookViewId="0">
      <pane xSplit="2" ySplit="3" topLeftCell="C4" activePane="bottomRight" state="frozen"/>
      <selection pane="topRight" activeCell="C1" sqref="C1"/>
      <selection pane="bottomLeft" activeCell="A4" sqref="A4"/>
      <selection pane="bottomRight" activeCell="F12" sqref="F12"/>
    </sheetView>
  </sheetViews>
  <sheetFormatPr defaultColWidth="8.6640625" defaultRowHeight="14.4" x14ac:dyDescent="0.3"/>
  <cols>
    <col min="1" max="1" width="22" customWidth="1"/>
    <col min="2" max="2" width="9.77734375" customWidth="1"/>
    <col min="3" max="3" width="8" customWidth="1"/>
    <col min="4" max="5" width="10" customWidth="1"/>
    <col min="6" max="6" width="9" customWidth="1"/>
    <col min="7" max="7" width="13" customWidth="1"/>
    <col min="8" max="8" width="11" customWidth="1"/>
    <col min="9" max="9" width="10" customWidth="1"/>
    <col min="10" max="10" width="11" customWidth="1"/>
    <col min="11" max="11" width="7" customWidth="1"/>
    <col min="12" max="13" width="10" customWidth="1"/>
    <col min="14" max="15" width="13" customWidth="1"/>
    <col min="16" max="16" width="10" customWidth="1"/>
    <col min="17" max="17" width="13" customWidth="1"/>
  </cols>
  <sheetData>
    <row r="1" spans="1:17" ht="31.5" customHeight="1" x14ac:dyDescent="0.3">
      <c r="A1" s="130" t="s">
        <v>307</v>
      </c>
      <c r="B1" s="118"/>
      <c r="C1" s="118"/>
      <c r="D1" s="118"/>
      <c r="E1" s="118"/>
      <c r="F1" s="118"/>
      <c r="G1" s="118"/>
      <c r="H1" s="118"/>
      <c r="I1" s="118"/>
      <c r="J1" s="118"/>
      <c r="K1" s="118"/>
      <c r="L1" s="118"/>
      <c r="M1" s="118"/>
      <c r="N1" s="118"/>
      <c r="O1" s="118"/>
      <c r="P1" s="118"/>
      <c r="Q1" s="118"/>
    </row>
    <row r="2" spans="1:17" ht="19.5" customHeight="1" x14ac:dyDescent="0.3">
      <c r="A2" s="129" t="s">
        <v>308</v>
      </c>
      <c r="B2" s="118"/>
      <c r="C2" s="118"/>
      <c r="D2" s="118"/>
      <c r="E2" s="118"/>
      <c r="F2" s="118"/>
      <c r="G2" s="118"/>
      <c r="H2" s="118"/>
      <c r="I2" s="118"/>
      <c r="J2" s="118"/>
      <c r="K2" s="118"/>
      <c r="L2" s="118"/>
      <c r="M2" s="118"/>
      <c r="N2" s="118"/>
      <c r="O2" s="118"/>
      <c r="P2" s="118"/>
      <c r="Q2" s="118"/>
    </row>
    <row r="3" spans="1:17" ht="31.5" customHeight="1" x14ac:dyDescent="0.3">
      <c r="A3" s="30" t="s">
        <v>166</v>
      </c>
      <c r="B3" s="30" t="s">
        <v>167</v>
      </c>
      <c r="C3" s="30" t="s">
        <v>309</v>
      </c>
      <c r="D3" s="30" t="s">
        <v>310</v>
      </c>
      <c r="E3" s="30" t="s">
        <v>311</v>
      </c>
      <c r="F3" s="30" t="s">
        <v>312</v>
      </c>
      <c r="G3" s="30" t="s">
        <v>313</v>
      </c>
      <c r="H3" s="30" t="s">
        <v>314</v>
      </c>
      <c r="I3" s="30" t="s">
        <v>315</v>
      </c>
      <c r="J3" s="30" t="s">
        <v>316</v>
      </c>
      <c r="K3" s="30" t="s">
        <v>317</v>
      </c>
      <c r="L3" s="30" t="s">
        <v>318</v>
      </c>
      <c r="M3" s="30" t="s">
        <v>319</v>
      </c>
      <c r="N3" s="30" t="s">
        <v>320</v>
      </c>
      <c r="O3" s="30" t="s">
        <v>321</v>
      </c>
      <c r="P3" s="30" t="s">
        <v>322</v>
      </c>
      <c r="Q3" s="30" t="s">
        <v>323</v>
      </c>
    </row>
    <row r="4" spans="1:17" ht="19.5" customHeight="1" x14ac:dyDescent="0.3">
      <c r="A4" s="17" t="s">
        <v>179</v>
      </c>
      <c r="B4" s="37" t="s">
        <v>180</v>
      </c>
      <c r="C4" s="27">
        <v>34</v>
      </c>
      <c r="D4" s="53">
        <v>3.55</v>
      </c>
      <c r="E4" s="53">
        <v>0.49</v>
      </c>
      <c r="F4" s="53">
        <v>4.5</v>
      </c>
      <c r="G4" s="38">
        <v>6628.4049999999997</v>
      </c>
      <c r="H4" s="26"/>
      <c r="I4" s="26">
        <v>11.5</v>
      </c>
      <c r="J4" s="26">
        <v>46.2</v>
      </c>
      <c r="K4" s="53">
        <v>2.0419999999999998</v>
      </c>
      <c r="L4" s="53">
        <v>2.415</v>
      </c>
      <c r="M4" s="53">
        <v>21.38</v>
      </c>
      <c r="N4" s="38">
        <v>57</v>
      </c>
      <c r="O4" s="26">
        <v>23.2</v>
      </c>
      <c r="P4" s="26">
        <v>70</v>
      </c>
      <c r="Q4" s="26">
        <v>100</v>
      </c>
    </row>
    <row r="5" spans="1:17" ht="19.5" customHeight="1" x14ac:dyDescent="0.3">
      <c r="A5" s="13" t="s">
        <v>130</v>
      </c>
      <c r="B5" s="43" t="s">
        <v>181</v>
      </c>
      <c r="C5" s="23">
        <v>36</v>
      </c>
      <c r="D5" s="54">
        <v>6.51</v>
      </c>
      <c r="E5" s="54">
        <v>0.54</v>
      </c>
      <c r="F5" s="54">
        <v>6.91</v>
      </c>
      <c r="G5" s="44">
        <v>14356.62</v>
      </c>
      <c r="H5" s="22"/>
      <c r="I5" s="22">
        <v>7.9</v>
      </c>
      <c r="J5" s="22">
        <v>83.2</v>
      </c>
      <c r="K5" s="54">
        <v>1.768</v>
      </c>
      <c r="L5" s="54">
        <v>0.80100000000000005</v>
      </c>
      <c r="M5" s="54">
        <v>1.93</v>
      </c>
      <c r="N5" s="44">
        <v>91</v>
      </c>
      <c r="O5" s="22">
        <v>41.7</v>
      </c>
      <c r="P5" s="22">
        <v>46.4</v>
      </c>
      <c r="Q5" s="22">
        <v>100</v>
      </c>
    </row>
    <row r="6" spans="1:17" ht="19.5" customHeight="1" x14ac:dyDescent="0.3">
      <c r="A6" s="17" t="s">
        <v>111</v>
      </c>
      <c r="B6" s="37" t="s">
        <v>182</v>
      </c>
      <c r="C6" s="27">
        <v>76</v>
      </c>
      <c r="D6" s="53">
        <v>8.85</v>
      </c>
      <c r="E6" s="53">
        <v>0.8</v>
      </c>
      <c r="F6" s="53">
        <v>8.7899999999999991</v>
      </c>
      <c r="G6" s="38">
        <v>75647.839999999997</v>
      </c>
      <c r="H6" s="26"/>
      <c r="I6" s="26">
        <v>4.0999999999999996</v>
      </c>
      <c r="J6" s="26">
        <v>43.8</v>
      </c>
      <c r="K6" s="53">
        <v>1.5049999999999999</v>
      </c>
      <c r="L6" s="53">
        <v>1.9730000000000001</v>
      </c>
      <c r="M6" s="53">
        <v>4.96</v>
      </c>
      <c r="N6" s="38">
        <v>10</v>
      </c>
      <c r="O6" s="26">
        <v>79.599999999999994</v>
      </c>
      <c r="P6" s="26">
        <v>22</v>
      </c>
      <c r="Q6" s="26">
        <v>100</v>
      </c>
    </row>
    <row r="7" spans="1:17" ht="19.5" customHeight="1" x14ac:dyDescent="0.3">
      <c r="A7" s="13" t="s">
        <v>183</v>
      </c>
      <c r="B7" s="43" t="s">
        <v>184</v>
      </c>
      <c r="C7" s="23">
        <v>64</v>
      </c>
      <c r="D7" s="54"/>
      <c r="E7" s="54">
        <v>0.57999999999999996</v>
      </c>
      <c r="F7" s="54">
        <v>7.79</v>
      </c>
      <c r="G7" s="44">
        <v>40892.449999999997</v>
      </c>
      <c r="H7" s="22"/>
      <c r="I7" s="22">
        <v>8.5</v>
      </c>
      <c r="J7" s="22">
        <v>81.5</v>
      </c>
      <c r="K7" s="54"/>
      <c r="L7" s="54"/>
      <c r="M7" s="54"/>
      <c r="N7" s="44">
        <v>11</v>
      </c>
      <c r="O7" s="22">
        <v>84.8</v>
      </c>
      <c r="P7" s="22">
        <v>49.2</v>
      </c>
      <c r="Q7" s="22">
        <v>100</v>
      </c>
    </row>
    <row r="8" spans="1:17" ht="19.5" customHeight="1" x14ac:dyDescent="0.3">
      <c r="A8" s="17" t="s">
        <v>185</v>
      </c>
      <c r="B8" s="37" t="s">
        <v>186</v>
      </c>
      <c r="C8" s="27">
        <v>50</v>
      </c>
      <c r="D8" s="53">
        <v>2.4500000000000002</v>
      </c>
      <c r="E8" s="53"/>
      <c r="F8" s="53">
        <v>5.44</v>
      </c>
      <c r="G8" s="38">
        <v>29569.16</v>
      </c>
      <c r="H8" s="26"/>
      <c r="I8" s="26">
        <v>1.2</v>
      </c>
      <c r="J8" s="26">
        <v>134</v>
      </c>
      <c r="K8" s="53">
        <v>2.0990000000000002</v>
      </c>
      <c r="L8" s="53">
        <v>5.8999999999999997E-2</v>
      </c>
      <c r="M8" s="53">
        <v>10.220000000000001</v>
      </c>
      <c r="N8" s="38">
        <v>27</v>
      </c>
      <c r="O8" s="26">
        <v>29.4</v>
      </c>
      <c r="P8" s="26">
        <v>65.099999999999994</v>
      </c>
      <c r="Q8" s="26">
        <v>100</v>
      </c>
    </row>
    <row r="9" spans="1:17" ht="19.5" customHeight="1" x14ac:dyDescent="0.3">
      <c r="A9" s="13" t="s">
        <v>187</v>
      </c>
      <c r="B9" s="43" t="s">
        <v>188</v>
      </c>
      <c r="C9" s="23">
        <v>40</v>
      </c>
      <c r="D9" s="54">
        <v>6.34</v>
      </c>
      <c r="E9" s="54">
        <v>0.55000000000000004</v>
      </c>
      <c r="F9" s="54">
        <v>7.85</v>
      </c>
      <c r="G9" s="44">
        <v>23848.46</v>
      </c>
      <c r="H9" s="22"/>
      <c r="I9" s="22">
        <v>4.2</v>
      </c>
      <c r="J9" s="22">
        <v>24.1</v>
      </c>
      <c r="K9" s="54">
        <v>1.61</v>
      </c>
      <c r="L9" s="54"/>
      <c r="M9" s="54">
        <v>5.49</v>
      </c>
      <c r="N9" s="44">
        <v>5</v>
      </c>
      <c r="O9" s="22">
        <v>55.5</v>
      </c>
      <c r="P9" s="22">
        <v>51.8</v>
      </c>
      <c r="Q9" s="22">
        <v>100</v>
      </c>
    </row>
    <row r="10" spans="1:17" ht="19.5" customHeight="1" x14ac:dyDescent="0.3">
      <c r="A10" s="17" t="s">
        <v>189</v>
      </c>
      <c r="B10" s="37" t="s">
        <v>190</v>
      </c>
      <c r="C10" s="27">
        <v>75</v>
      </c>
      <c r="D10" s="53">
        <v>8.69</v>
      </c>
      <c r="E10" s="53">
        <v>0.79</v>
      </c>
      <c r="F10" s="53">
        <v>8.74</v>
      </c>
      <c r="G10" s="38">
        <v>60304.56</v>
      </c>
      <c r="H10" s="26"/>
      <c r="I10" s="26">
        <v>6.5</v>
      </c>
      <c r="J10" s="26">
        <v>111</v>
      </c>
      <c r="K10" s="53">
        <v>1.4910000000000001</v>
      </c>
      <c r="L10" s="53">
        <v>1.87</v>
      </c>
      <c r="M10" s="53">
        <v>3.08</v>
      </c>
      <c r="N10" s="38">
        <v>19</v>
      </c>
      <c r="O10" s="26">
        <v>76.3</v>
      </c>
      <c r="P10" s="26">
        <v>18.899999999999999</v>
      </c>
      <c r="Q10" s="26">
        <v>100</v>
      </c>
    </row>
    <row r="11" spans="1:17" ht="19.5" customHeight="1" x14ac:dyDescent="0.3">
      <c r="A11" s="13" t="s">
        <v>126</v>
      </c>
      <c r="B11" s="43" t="s">
        <v>191</v>
      </c>
      <c r="C11" s="23">
        <v>63</v>
      </c>
      <c r="D11" s="54">
        <v>7.83</v>
      </c>
      <c r="E11" s="54">
        <v>0.66</v>
      </c>
      <c r="F11" s="54">
        <v>8.4700000000000006</v>
      </c>
      <c r="G11" s="44">
        <v>20239.759999999998</v>
      </c>
      <c r="H11" s="22"/>
      <c r="I11" s="22">
        <v>9.1</v>
      </c>
      <c r="J11" s="22">
        <v>41.7</v>
      </c>
      <c r="K11" s="54">
        <v>1.899</v>
      </c>
      <c r="L11" s="54">
        <v>5.1619999999999999</v>
      </c>
      <c r="M11" s="54">
        <v>5.84</v>
      </c>
      <c r="N11" s="44">
        <v>541</v>
      </c>
      <c r="O11" s="22">
        <v>50.2</v>
      </c>
      <c r="P11" s="22">
        <v>42.2</v>
      </c>
      <c r="Q11" s="22">
        <v>100</v>
      </c>
    </row>
    <row r="12" spans="1:17" ht="19.5" customHeight="1" x14ac:dyDescent="0.3">
      <c r="A12" s="17" t="s">
        <v>192</v>
      </c>
      <c r="B12" s="37" t="s">
        <v>193</v>
      </c>
      <c r="C12" s="27">
        <v>43</v>
      </c>
      <c r="D12" s="53">
        <v>2.11</v>
      </c>
      <c r="E12" s="53">
        <v>0.48</v>
      </c>
      <c r="F12" s="53">
        <v>4.93</v>
      </c>
      <c r="G12" s="38">
        <v>14873.57</v>
      </c>
      <c r="H12" s="26"/>
      <c r="I12" s="26">
        <v>4.5999999999999996</v>
      </c>
      <c r="J12" s="26">
        <v>88.3</v>
      </c>
      <c r="K12" s="53">
        <v>2.093</v>
      </c>
      <c r="L12" s="53">
        <v>1.863</v>
      </c>
      <c r="M12" s="53">
        <v>5.0599999999999996</v>
      </c>
      <c r="N12" s="38">
        <v>553</v>
      </c>
      <c r="O12" s="26">
        <v>25.1</v>
      </c>
      <c r="P12" s="26">
        <v>65.099999999999994</v>
      </c>
      <c r="Q12" s="26">
        <v>100</v>
      </c>
    </row>
    <row r="13" spans="1:17" ht="19.5" customHeight="1" x14ac:dyDescent="0.3">
      <c r="A13" s="13" t="s">
        <v>194</v>
      </c>
      <c r="B13" s="43" t="s">
        <v>195</v>
      </c>
      <c r="C13" s="23">
        <v>37</v>
      </c>
      <c r="D13" s="54">
        <v>6.35</v>
      </c>
      <c r="E13" s="54">
        <v>0.47</v>
      </c>
      <c r="F13" s="54">
        <v>6.91</v>
      </c>
      <c r="G13" s="44">
        <v>10103.709999999999</v>
      </c>
      <c r="H13" s="22"/>
      <c r="I13" s="22">
        <v>9.6999999999999993</v>
      </c>
      <c r="J13" s="22">
        <v>61.3</v>
      </c>
      <c r="K13" s="54">
        <v>2.6949999999999998</v>
      </c>
      <c r="L13" s="54">
        <v>6.3810000000000002</v>
      </c>
      <c r="M13" s="54">
        <v>10.119999999999999</v>
      </c>
      <c r="N13" s="44">
        <v>8100</v>
      </c>
      <c r="O13" s="22">
        <v>19</v>
      </c>
      <c r="P13" s="22">
        <v>78.099999999999994</v>
      </c>
      <c r="Q13" s="22">
        <v>100</v>
      </c>
    </row>
    <row r="14" spans="1:17" ht="19.5" customHeight="1" x14ac:dyDescent="0.3">
      <c r="A14" s="17" t="s">
        <v>196</v>
      </c>
      <c r="B14" s="37" t="s">
        <v>197</v>
      </c>
      <c r="C14" s="27">
        <v>56</v>
      </c>
      <c r="D14" s="53">
        <v>8.2899999999999991</v>
      </c>
      <c r="E14" s="53">
        <v>0.68</v>
      </c>
      <c r="F14" s="53">
        <v>8.36</v>
      </c>
      <c r="G14" s="38">
        <v>20299.189999999999</v>
      </c>
      <c r="H14" s="26"/>
      <c r="I14" s="26">
        <v>7.9</v>
      </c>
      <c r="J14" s="26">
        <v>74.180000000000007</v>
      </c>
      <c r="K14" s="53">
        <v>1.843</v>
      </c>
      <c r="L14" s="53"/>
      <c r="M14" s="53"/>
      <c r="N14" s="38">
        <v>50</v>
      </c>
      <c r="O14" s="26">
        <v>83.9</v>
      </c>
      <c r="P14" s="26">
        <v>40.4</v>
      </c>
      <c r="Q14" s="26">
        <v>100</v>
      </c>
    </row>
    <row r="15" spans="1:17" ht="19.5" customHeight="1" x14ac:dyDescent="0.3">
      <c r="A15" s="13" t="s">
        <v>198</v>
      </c>
      <c r="B15" s="43" t="s">
        <v>199</v>
      </c>
      <c r="C15" s="23">
        <v>40</v>
      </c>
      <c r="D15" s="54">
        <v>2.58</v>
      </c>
      <c r="E15" s="54"/>
      <c r="F15" s="54"/>
      <c r="G15" s="44"/>
      <c r="H15" s="22"/>
      <c r="I15" s="22">
        <v>1.6</v>
      </c>
      <c r="J15" s="22"/>
      <c r="K15" s="54">
        <v>2.1230000000000002</v>
      </c>
      <c r="L15" s="54"/>
      <c r="M15" s="54"/>
      <c r="N15" s="44">
        <v>157</v>
      </c>
      <c r="O15" s="22">
        <v>56.9</v>
      </c>
      <c r="P15" s="22">
        <v>59.5</v>
      </c>
      <c r="Q15" s="22">
        <v>100</v>
      </c>
    </row>
    <row r="16" spans="1:17" ht="19.5" customHeight="1" x14ac:dyDescent="0.3">
      <c r="A16" s="17" t="s">
        <v>200</v>
      </c>
      <c r="B16" s="37" t="s">
        <v>201</v>
      </c>
      <c r="C16" s="27">
        <v>89</v>
      </c>
      <c r="D16" s="53">
        <v>9.2799999999999994</v>
      </c>
      <c r="E16" s="53">
        <v>0.9</v>
      </c>
      <c r="F16" s="53">
        <v>9.0299999999999994</v>
      </c>
      <c r="G16" s="38">
        <v>83445.33</v>
      </c>
      <c r="H16" s="26"/>
      <c r="I16" s="26">
        <v>5.6</v>
      </c>
      <c r="J16" s="26">
        <v>31.1</v>
      </c>
      <c r="K16" s="53">
        <v>1.393</v>
      </c>
      <c r="L16" s="53">
        <v>0.72</v>
      </c>
      <c r="M16" s="53">
        <v>5.0599999999999996</v>
      </c>
      <c r="N16" s="38">
        <v>5</v>
      </c>
      <c r="O16" s="26">
        <v>76.8</v>
      </c>
      <c r="P16" s="26">
        <v>17.899999999999999</v>
      </c>
      <c r="Q16" s="26">
        <v>100</v>
      </c>
    </row>
    <row r="17" spans="1:17" ht="19.5" customHeight="1" x14ac:dyDescent="0.3">
      <c r="A17" s="13" t="s">
        <v>202</v>
      </c>
      <c r="B17" s="43" t="s">
        <v>203</v>
      </c>
      <c r="C17" s="23">
        <v>31</v>
      </c>
      <c r="D17" s="54">
        <v>2.7</v>
      </c>
      <c r="E17" s="54"/>
      <c r="F17" s="54">
        <v>5.44</v>
      </c>
      <c r="G17" s="44">
        <v>4420.7449999999999</v>
      </c>
      <c r="H17" s="22"/>
      <c r="I17" s="22">
        <v>25.9</v>
      </c>
      <c r="J17" s="22"/>
      <c r="K17" s="54">
        <v>2.2759999999999998</v>
      </c>
      <c r="L17" s="54">
        <v>1.4610000000000001</v>
      </c>
      <c r="M17" s="54"/>
      <c r="N17" s="44">
        <v>11</v>
      </c>
      <c r="O17" s="22">
        <v>24.6</v>
      </c>
      <c r="P17" s="22">
        <v>82.2</v>
      </c>
      <c r="Q17" s="22">
        <v>65</v>
      </c>
    </row>
    <row r="18" spans="1:17" ht="19.5" customHeight="1" x14ac:dyDescent="0.3">
      <c r="A18" s="17" t="s">
        <v>204</v>
      </c>
      <c r="B18" s="37" t="s">
        <v>205</v>
      </c>
      <c r="C18" s="27">
        <v>37</v>
      </c>
      <c r="D18" s="53">
        <v>6.62</v>
      </c>
      <c r="E18" s="53">
        <v>0.5</v>
      </c>
      <c r="F18" s="53">
        <v>7.9</v>
      </c>
      <c r="G18" s="38">
        <v>12405.59</v>
      </c>
      <c r="H18" s="26"/>
      <c r="I18" s="26">
        <v>5.5</v>
      </c>
      <c r="J18" s="26">
        <v>46.2</v>
      </c>
      <c r="K18" s="53">
        <v>1.996</v>
      </c>
      <c r="L18" s="53"/>
      <c r="M18" s="53">
        <v>4.04</v>
      </c>
      <c r="N18" s="38">
        <v>83</v>
      </c>
      <c r="O18" s="26">
        <v>53.6</v>
      </c>
      <c r="P18" s="26">
        <v>60.8</v>
      </c>
      <c r="Q18" s="26">
        <v>98.1</v>
      </c>
    </row>
    <row r="19" spans="1:17" ht="19.5" customHeight="1" x14ac:dyDescent="0.3">
      <c r="A19" s="13" t="s">
        <v>69</v>
      </c>
      <c r="B19" s="43" t="s">
        <v>206</v>
      </c>
      <c r="C19" s="23">
        <v>30</v>
      </c>
      <c r="D19" s="54">
        <v>2.79</v>
      </c>
      <c r="E19" s="54">
        <v>0.35</v>
      </c>
      <c r="F19" s="54">
        <v>4.08</v>
      </c>
      <c r="G19" s="44">
        <v>3903.808</v>
      </c>
      <c r="H19" s="22"/>
      <c r="I19" s="22">
        <v>7.2</v>
      </c>
      <c r="J19" s="22">
        <v>82.9</v>
      </c>
      <c r="K19" s="54">
        <v>2.157</v>
      </c>
      <c r="L19" s="54">
        <v>4.4160000000000004</v>
      </c>
      <c r="M19" s="54">
        <v>2.93</v>
      </c>
      <c r="N19" s="44">
        <v>101</v>
      </c>
      <c r="O19" s="22">
        <v>16.600000000000001</v>
      </c>
      <c r="P19" s="22">
        <v>81.599999999999994</v>
      </c>
      <c r="Q19" s="22">
        <v>100</v>
      </c>
    </row>
    <row r="20" spans="1:17" ht="19.5" customHeight="1" x14ac:dyDescent="0.3">
      <c r="A20" s="17" t="s">
        <v>207</v>
      </c>
      <c r="B20" s="37" t="s">
        <v>208</v>
      </c>
      <c r="C20" s="27">
        <v>13</v>
      </c>
      <c r="D20" s="53">
        <v>1.97</v>
      </c>
      <c r="E20" s="53"/>
      <c r="F20" s="53"/>
      <c r="G20" s="38"/>
      <c r="H20" s="26"/>
      <c r="I20" s="26">
        <v>5.6</v>
      </c>
      <c r="J20" s="26">
        <v>164</v>
      </c>
      <c r="K20" s="53">
        <v>2.5419999999999998</v>
      </c>
      <c r="L20" s="53"/>
      <c r="M20" s="53"/>
      <c r="N20" s="38">
        <v>5</v>
      </c>
      <c r="O20" s="26">
        <v>17.5</v>
      </c>
      <c r="P20" s="26">
        <v>94.5</v>
      </c>
      <c r="Q20" s="26">
        <v>55.4</v>
      </c>
    </row>
    <row r="21" spans="1:17" ht="19.5" customHeight="1" x14ac:dyDescent="0.3">
      <c r="A21" s="13" t="s">
        <v>209</v>
      </c>
      <c r="B21" s="43" t="s">
        <v>210</v>
      </c>
      <c r="C21" s="23">
        <v>38</v>
      </c>
      <c r="D21" s="54">
        <v>3.24</v>
      </c>
      <c r="E21" s="54">
        <v>0.36</v>
      </c>
      <c r="F21" s="54">
        <v>4.7</v>
      </c>
      <c r="G21" s="44">
        <v>1081.49</v>
      </c>
      <c r="H21" s="22"/>
      <c r="I21" s="22">
        <v>3.4</v>
      </c>
      <c r="J21" s="22">
        <v>32</v>
      </c>
      <c r="K21" s="54">
        <v>2.6880000000000002</v>
      </c>
      <c r="L21" s="54">
        <v>0.78700000000000003</v>
      </c>
      <c r="M21" s="54">
        <v>6.91</v>
      </c>
      <c r="N21" s="44">
        <v>6237</v>
      </c>
      <c r="O21" s="22">
        <v>6.2</v>
      </c>
      <c r="P21" s="22">
        <v>100.4</v>
      </c>
      <c r="Q21" s="22">
        <v>55</v>
      </c>
    </row>
    <row r="22" spans="1:17" ht="19.5" customHeight="1" x14ac:dyDescent="0.3">
      <c r="A22" s="17" t="s">
        <v>211</v>
      </c>
      <c r="B22" s="37" t="s">
        <v>212</v>
      </c>
      <c r="C22" s="27">
        <v>88</v>
      </c>
      <c r="D22" s="53">
        <v>9.3000000000000007</v>
      </c>
      <c r="E22" s="53">
        <v>0.87</v>
      </c>
      <c r="F22" s="53">
        <v>8.83</v>
      </c>
      <c r="G22" s="38">
        <v>60129.69</v>
      </c>
      <c r="H22" s="26"/>
      <c r="I22" s="26">
        <v>8.3000000000000007</v>
      </c>
      <c r="J22" s="26">
        <v>82.1</v>
      </c>
      <c r="K22" s="53">
        <v>1.42</v>
      </c>
      <c r="L22" s="53">
        <v>0.94899999999999995</v>
      </c>
      <c r="M22" s="53">
        <v>4.05</v>
      </c>
      <c r="N22" s="38">
        <v>4</v>
      </c>
      <c r="O22" s="26">
        <v>71.099999999999994</v>
      </c>
      <c r="P22" s="26">
        <v>16</v>
      </c>
      <c r="Q22" s="26">
        <v>100</v>
      </c>
    </row>
    <row r="23" spans="1:17" ht="19.5" customHeight="1" x14ac:dyDescent="0.3">
      <c r="A23" s="13" t="s">
        <v>213</v>
      </c>
      <c r="B23" s="43" t="s">
        <v>214</v>
      </c>
      <c r="C23" s="23">
        <v>66</v>
      </c>
      <c r="D23" s="54">
        <v>7.99</v>
      </c>
      <c r="E23" s="54">
        <v>0.72</v>
      </c>
      <c r="F23" s="54">
        <v>8.18</v>
      </c>
      <c r="G23" s="44">
        <v>52083.33</v>
      </c>
      <c r="H23" s="22">
        <v>0.3</v>
      </c>
      <c r="I23" s="22">
        <v>7.4</v>
      </c>
      <c r="J23" s="22">
        <v>113</v>
      </c>
      <c r="K23" s="54">
        <v>1.9670000000000001</v>
      </c>
      <c r="L23" s="54">
        <v>2.7120000000000002</v>
      </c>
      <c r="M23" s="54">
        <v>3.59</v>
      </c>
      <c r="N23" s="44">
        <v>230</v>
      </c>
      <c r="O23" s="22">
        <v>55.9</v>
      </c>
      <c r="P23" s="22">
        <v>28.8</v>
      </c>
      <c r="Q23" s="22">
        <v>100</v>
      </c>
    </row>
    <row r="24" spans="1:17" ht="19.5" customHeight="1" x14ac:dyDescent="0.3">
      <c r="A24" s="17" t="s">
        <v>215</v>
      </c>
      <c r="B24" s="37" t="s">
        <v>216</v>
      </c>
      <c r="C24" s="27">
        <v>50</v>
      </c>
      <c r="D24" s="53">
        <v>4.7</v>
      </c>
      <c r="E24" s="53">
        <v>0.57999999999999996</v>
      </c>
      <c r="F24" s="53">
        <v>7.52</v>
      </c>
      <c r="G24" s="38">
        <v>11574.01</v>
      </c>
      <c r="H24" s="26">
        <v>4.8</v>
      </c>
      <c r="I24" s="26">
        <v>11.5</v>
      </c>
      <c r="J24" s="26">
        <v>36.1</v>
      </c>
      <c r="K24" s="53">
        <v>2.1850000000000001</v>
      </c>
      <c r="L24" s="53"/>
      <c r="M24" s="53">
        <v>6.07</v>
      </c>
      <c r="N24" s="38">
        <v>64</v>
      </c>
      <c r="O24" s="26">
        <v>33.200000000000003</v>
      </c>
      <c r="P24" s="26">
        <v>71.900000000000006</v>
      </c>
      <c r="Q24" s="26">
        <v>100</v>
      </c>
    </row>
    <row r="25" spans="1:17" ht="19.5" customHeight="1" x14ac:dyDescent="0.3">
      <c r="A25" s="13" t="s">
        <v>217</v>
      </c>
      <c r="B25" s="43" t="s">
        <v>218</v>
      </c>
      <c r="C25" s="23">
        <v>77</v>
      </c>
      <c r="D25" s="54">
        <v>8.73</v>
      </c>
      <c r="E25" s="54">
        <v>0.83</v>
      </c>
      <c r="F25" s="54">
        <v>8.67</v>
      </c>
      <c r="G25" s="44">
        <v>65302.89</v>
      </c>
      <c r="H25" s="22">
        <v>2.1</v>
      </c>
      <c r="I25" s="22">
        <v>3.5</v>
      </c>
      <c r="J25" s="22">
        <v>62.2</v>
      </c>
      <c r="K25" s="54">
        <v>1.5329999999999999</v>
      </c>
      <c r="L25" s="54">
        <v>4.7480000000000002</v>
      </c>
      <c r="M25" s="54">
        <v>3.93</v>
      </c>
      <c r="N25" s="44">
        <v>191</v>
      </c>
      <c r="O25" s="22">
        <v>66.400000000000006</v>
      </c>
      <c r="P25" s="22">
        <v>24.6</v>
      </c>
      <c r="Q25" s="22">
        <v>100</v>
      </c>
    </row>
    <row r="26" spans="1:17" ht="19.5" customHeight="1" x14ac:dyDescent="0.3">
      <c r="A26" s="17" t="s">
        <v>219</v>
      </c>
      <c r="B26" s="37" t="s">
        <v>220</v>
      </c>
      <c r="C26" s="27">
        <v>16</v>
      </c>
      <c r="D26" s="53">
        <v>2.74</v>
      </c>
      <c r="E26" s="53">
        <v>0.32</v>
      </c>
      <c r="F26" s="53">
        <v>5.85</v>
      </c>
      <c r="G26" s="38">
        <v>3078.902</v>
      </c>
      <c r="H26" s="26"/>
      <c r="I26" s="26">
        <v>15.1</v>
      </c>
      <c r="J26" s="26">
        <v>14</v>
      </c>
      <c r="K26" s="53">
        <v>2.7309999999999999</v>
      </c>
      <c r="L26" s="53"/>
      <c r="M26" s="53">
        <v>1.63</v>
      </c>
      <c r="N26" s="38">
        <v>4413</v>
      </c>
      <c r="O26" s="26">
        <v>10.4</v>
      </c>
      <c r="P26" s="26">
        <v>102.9</v>
      </c>
      <c r="Q26" s="26">
        <v>49.3</v>
      </c>
    </row>
    <row r="27" spans="1:17" ht="19.5" customHeight="1" x14ac:dyDescent="0.3">
      <c r="A27" s="13" t="s">
        <v>221</v>
      </c>
      <c r="B27" s="43" t="s">
        <v>222</v>
      </c>
      <c r="C27" s="23">
        <v>39</v>
      </c>
      <c r="D27" s="54">
        <v>7.29</v>
      </c>
      <c r="E27" s="54">
        <v>0.49</v>
      </c>
      <c r="F27" s="54">
        <v>6.26</v>
      </c>
      <c r="G27" s="44">
        <v>2812.623</v>
      </c>
      <c r="H27" s="22"/>
      <c r="I27" s="22">
        <v>4.3</v>
      </c>
      <c r="J27" s="22">
        <v>81.92</v>
      </c>
      <c r="K27" s="54">
        <v>2.2290000000000001</v>
      </c>
      <c r="L27" s="54">
        <v>6.4109999999999996</v>
      </c>
      <c r="M27" s="54">
        <v>7.63</v>
      </c>
      <c r="N27" s="44">
        <v>9921</v>
      </c>
      <c r="O27" s="22">
        <v>21.3</v>
      </c>
      <c r="P27" s="22">
        <v>74.099999999999994</v>
      </c>
      <c r="Q27" s="22">
        <v>99.2</v>
      </c>
    </row>
    <row r="28" spans="1:17" ht="19.5" customHeight="1" x14ac:dyDescent="0.3">
      <c r="A28" s="17" t="s">
        <v>110</v>
      </c>
      <c r="B28" s="37" t="s">
        <v>223</v>
      </c>
      <c r="C28" s="27">
        <v>34</v>
      </c>
      <c r="D28" s="53">
        <v>6.44</v>
      </c>
      <c r="E28" s="53">
        <v>0.52</v>
      </c>
      <c r="F28" s="53">
        <v>6.67</v>
      </c>
      <c r="G28" s="38">
        <v>5361.7</v>
      </c>
      <c r="H28" s="26">
        <v>3.55</v>
      </c>
      <c r="I28" s="26">
        <v>3.3</v>
      </c>
      <c r="J28" s="26">
        <v>38.799999999999997</v>
      </c>
      <c r="K28" s="53">
        <v>1.786</v>
      </c>
      <c r="L28" s="53">
        <v>4.17</v>
      </c>
      <c r="M28" s="53">
        <v>4.5999999999999996</v>
      </c>
      <c r="N28" s="38">
        <v>1452</v>
      </c>
      <c r="O28" s="26">
        <v>28.9</v>
      </c>
      <c r="P28" s="26">
        <v>65.599999999999994</v>
      </c>
      <c r="Q28" s="26">
        <v>100</v>
      </c>
    </row>
    <row r="29" spans="1:17" ht="19.5" customHeight="1" x14ac:dyDescent="0.3">
      <c r="A29" s="13" t="s">
        <v>224</v>
      </c>
      <c r="B29" s="43" t="s">
        <v>225</v>
      </c>
      <c r="C29" s="23">
        <v>23</v>
      </c>
      <c r="D29" s="54">
        <v>1.96</v>
      </c>
      <c r="E29" s="54">
        <v>0.38</v>
      </c>
      <c r="F29" s="54">
        <v>3.78</v>
      </c>
      <c r="G29" s="44">
        <v>3414.9789999999998</v>
      </c>
      <c r="H29" s="22"/>
      <c r="I29" s="22">
        <v>9.1999999999999993</v>
      </c>
      <c r="J29" s="22">
        <v>36.799999999999997</v>
      </c>
      <c r="K29" s="54">
        <v>2.75</v>
      </c>
      <c r="L29" s="54">
        <v>6.056</v>
      </c>
      <c r="M29" s="54">
        <v>12.55</v>
      </c>
      <c r="N29" s="44">
        <v>983</v>
      </c>
      <c r="O29" s="22">
        <v>8.1</v>
      </c>
      <c r="P29" s="22">
        <v>85.4</v>
      </c>
      <c r="Q29" s="22">
        <v>100</v>
      </c>
    </row>
    <row r="30" spans="1:17" ht="19.5" customHeight="1" x14ac:dyDescent="0.3">
      <c r="A30" s="17" t="s">
        <v>226</v>
      </c>
      <c r="B30" s="37" t="s">
        <v>227</v>
      </c>
      <c r="C30" s="27">
        <v>28</v>
      </c>
      <c r="D30" s="53">
        <v>2.8</v>
      </c>
      <c r="E30" s="53"/>
      <c r="F30" s="53">
        <v>4.92</v>
      </c>
      <c r="G30" s="38">
        <v>5677.1949999999997</v>
      </c>
      <c r="H30" s="26"/>
      <c r="I30" s="26">
        <v>15.6</v>
      </c>
      <c r="J30" s="26">
        <v>42.9</v>
      </c>
      <c r="K30" s="53">
        <v>2.8620000000000001</v>
      </c>
      <c r="L30" s="53">
        <v>6.5819999999999999</v>
      </c>
      <c r="M30" s="53">
        <v>4.87</v>
      </c>
      <c r="N30" s="38">
        <v>14408</v>
      </c>
      <c r="O30" s="26">
        <v>2.4</v>
      </c>
      <c r="P30" s="26">
        <v>91.4</v>
      </c>
      <c r="Q30" s="26">
        <v>100</v>
      </c>
    </row>
    <row r="31" spans="1:17" ht="19.5" customHeight="1" x14ac:dyDescent="0.3">
      <c r="A31" s="13" t="s">
        <v>228</v>
      </c>
      <c r="B31" s="43" t="s">
        <v>229</v>
      </c>
      <c r="C31" s="23">
        <v>62</v>
      </c>
      <c r="D31" s="54">
        <v>7.8</v>
      </c>
      <c r="E31" s="54"/>
      <c r="F31" s="54">
        <v>7.52</v>
      </c>
      <c r="G31" s="44">
        <v>69803.850000000006</v>
      </c>
      <c r="H31" s="22"/>
      <c r="I31" s="22">
        <v>3.2</v>
      </c>
      <c r="J31" s="22">
        <v>69</v>
      </c>
      <c r="K31" s="54">
        <v>3.1080000000000001</v>
      </c>
      <c r="L31" s="54">
        <v>7.4630000000000001</v>
      </c>
      <c r="M31" s="54">
        <v>19.989999999999998</v>
      </c>
      <c r="N31" s="44">
        <v>4658</v>
      </c>
      <c r="O31" s="22">
        <v>10</v>
      </c>
      <c r="P31" s="22">
        <v>44.1</v>
      </c>
      <c r="Q31" s="22">
        <v>100</v>
      </c>
    </row>
    <row r="32" spans="1:17" ht="19.5" customHeight="1" x14ac:dyDescent="0.3">
      <c r="A32" s="17" t="s">
        <v>230</v>
      </c>
      <c r="B32" s="37" t="s">
        <v>231</v>
      </c>
      <c r="C32" s="27">
        <v>44</v>
      </c>
      <c r="D32" s="53">
        <v>6.74</v>
      </c>
      <c r="E32" s="53">
        <v>0.56999999999999995</v>
      </c>
      <c r="F32" s="53">
        <v>7.89</v>
      </c>
      <c r="G32" s="38">
        <v>8355.7579999999998</v>
      </c>
      <c r="H32" s="26"/>
      <c r="I32" s="26">
        <v>4.9000000000000004</v>
      </c>
      <c r="J32" s="26">
        <v>67.900000000000006</v>
      </c>
      <c r="K32" s="53">
        <v>2.0470000000000002</v>
      </c>
      <c r="L32" s="53"/>
      <c r="M32" s="53">
        <v>4.07</v>
      </c>
      <c r="N32" s="38">
        <v>1058</v>
      </c>
      <c r="O32" s="26">
        <v>57.3</v>
      </c>
      <c r="P32" s="26">
        <v>61.9</v>
      </c>
      <c r="Q32" s="26">
        <v>100</v>
      </c>
    </row>
    <row r="33" spans="1:17" ht="19.5" customHeight="1" x14ac:dyDescent="0.3">
      <c r="A33" s="13" t="s">
        <v>232</v>
      </c>
      <c r="B33" s="43" t="s">
        <v>233</v>
      </c>
      <c r="C33" s="23">
        <v>71</v>
      </c>
      <c r="D33" s="54">
        <v>8.48</v>
      </c>
      <c r="E33" s="54">
        <v>0.78</v>
      </c>
      <c r="F33" s="54">
        <v>8.6</v>
      </c>
      <c r="G33" s="44">
        <v>35703.43</v>
      </c>
      <c r="H33" s="22"/>
      <c r="I33" s="22">
        <v>2.6</v>
      </c>
      <c r="J33" s="22">
        <v>237</v>
      </c>
      <c r="K33" s="54">
        <v>1.44</v>
      </c>
      <c r="L33" s="54">
        <v>0.94899999999999995</v>
      </c>
      <c r="M33" s="54">
        <v>3.25</v>
      </c>
      <c r="N33" s="44">
        <v>2</v>
      </c>
      <c r="O33" s="22">
        <v>81.5</v>
      </c>
      <c r="P33" s="22">
        <v>30.5</v>
      </c>
      <c r="Q33" s="22">
        <v>100</v>
      </c>
    </row>
    <row r="34" spans="1:17" ht="19.5" customHeight="1" x14ac:dyDescent="0.3">
      <c r="A34" s="17" t="s">
        <v>234</v>
      </c>
      <c r="B34" s="37" t="s">
        <v>235</v>
      </c>
      <c r="C34" s="27">
        <v>50</v>
      </c>
      <c r="D34" s="53">
        <v>3.28</v>
      </c>
      <c r="E34" s="53">
        <v>0.55000000000000004</v>
      </c>
      <c r="F34" s="53">
        <v>6.63</v>
      </c>
      <c r="G34" s="38">
        <v>5600.6610000000001</v>
      </c>
      <c r="H34" s="26"/>
      <c r="I34" s="26">
        <v>18</v>
      </c>
      <c r="J34" s="26">
        <v>90.2</v>
      </c>
      <c r="K34" s="53">
        <v>1.9570000000000001</v>
      </c>
      <c r="L34" s="53">
        <v>2.9129999999999998</v>
      </c>
      <c r="M34" s="53">
        <v>14.35</v>
      </c>
      <c r="N34" s="38">
        <v>41</v>
      </c>
      <c r="O34" s="26">
        <v>40.299999999999997</v>
      </c>
      <c r="P34" s="26">
        <v>75.7</v>
      </c>
      <c r="Q34" s="26">
        <v>100</v>
      </c>
    </row>
    <row r="35" spans="1:17" ht="19.5" customHeight="1" x14ac:dyDescent="0.3">
      <c r="A35" s="13" t="s">
        <v>236</v>
      </c>
      <c r="B35" s="43" t="s">
        <v>237</v>
      </c>
      <c r="C35" s="23">
        <v>46</v>
      </c>
      <c r="D35" s="54">
        <v>2.78</v>
      </c>
      <c r="E35" s="54">
        <v>0.57999999999999996</v>
      </c>
      <c r="F35" s="54">
        <v>6.18</v>
      </c>
      <c r="G35" s="44">
        <v>33164.449999999997</v>
      </c>
      <c r="H35" s="22"/>
      <c r="I35" s="22">
        <v>2.2000000000000002</v>
      </c>
      <c r="J35" s="22">
        <v>3</v>
      </c>
      <c r="K35" s="54">
        <v>1.6419999999999999</v>
      </c>
      <c r="L35" s="54"/>
      <c r="M35" s="54">
        <v>9.68</v>
      </c>
      <c r="N35" s="44">
        <v>0</v>
      </c>
      <c r="O35" s="22">
        <v>58.8</v>
      </c>
      <c r="P35" s="22">
        <v>51.2</v>
      </c>
      <c r="Q35" s="22">
        <v>100</v>
      </c>
    </row>
    <row r="36" spans="1:17" ht="19.5" customHeight="1" x14ac:dyDescent="0.3">
      <c r="A36" s="17" t="s">
        <v>238</v>
      </c>
      <c r="B36" s="37" t="s">
        <v>239</v>
      </c>
      <c r="C36" s="27">
        <v>13</v>
      </c>
      <c r="D36" s="53">
        <v>2.31</v>
      </c>
      <c r="E36" s="53"/>
      <c r="F36" s="53">
        <v>4.67</v>
      </c>
      <c r="G36" s="38">
        <v>6962.0739999999996</v>
      </c>
      <c r="H36" s="26"/>
      <c r="I36" s="26">
        <v>18.7</v>
      </c>
      <c r="J36" s="26"/>
      <c r="K36" s="53">
        <v>2.4780000000000002</v>
      </c>
      <c r="L36" s="53">
        <v>1.6120000000000001</v>
      </c>
      <c r="M36" s="53"/>
      <c r="N36" s="38">
        <v>676</v>
      </c>
      <c r="O36" s="26">
        <v>4.3</v>
      </c>
      <c r="P36" s="26">
        <v>96.1</v>
      </c>
      <c r="Q36" s="26">
        <v>70</v>
      </c>
    </row>
    <row r="37" spans="1:17" ht="19.5" customHeight="1" x14ac:dyDescent="0.3">
      <c r="A37" s="13" t="s">
        <v>240</v>
      </c>
      <c r="B37" s="43" t="s">
        <v>241</v>
      </c>
      <c r="C37" s="23">
        <v>25</v>
      </c>
      <c r="D37" s="54">
        <v>5.33</v>
      </c>
      <c r="E37" s="54">
        <v>0.43</v>
      </c>
      <c r="F37" s="54">
        <v>6.8</v>
      </c>
      <c r="G37" s="44">
        <v>655.51</v>
      </c>
      <c r="H37" s="22"/>
      <c r="I37" s="22">
        <v>3.1</v>
      </c>
      <c r="J37" s="22">
        <v>38.799999999999997</v>
      </c>
      <c r="K37" s="54">
        <v>1.895</v>
      </c>
      <c r="L37" s="54"/>
      <c r="M37" s="54">
        <v>4.24</v>
      </c>
      <c r="N37" s="44">
        <v>1277</v>
      </c>
      <c r="O37" s="22">
        <v>19.899999999999999</v>
      </c>
      <c r="P37" s="22">
        <v>81.7</v>
      </c>
      <c r="Q37" s="22">
        <v>36.1</v>
      </c>
    </row>
    <row r="38" spans="1:17" ht="19.5" customHeight="1" x14ac:dyDescent="0.3">
      <c r="A38" s="17" t="s">
        <v>242</v>
      </c>
      <c r="B38" s="37" t="s">
        <v>243</v>
      </c>
      <c r="C38" s="27">
        <v>52</v>
      </c>
      <c r="D38" s="53">
        <v>7.11</v>
      </c>
      <c r="E38" s="53">
        <v>0.56999999999999995</v>
      </c>
      <c r="F38" s="53">
        <v>7.11</v>
      </c>
      <c r="G38" s="38">
        <v>15085.38</v>
      </c>
      <c r="H38" s="26"/>
      <c r="I38" s="26">
        <v>3.9</v>
      </c>
      <c r="J38" s="26">
        <v>70.400000000000006</v>
      </c>
      <c r="K38" s="53">
        <v>1.4690000000000001</v>
      </c>
      <c r="L38" s="53">
        <v>1.6259999999999999</v>
      </c>
      <c r="M38" s="53">
        <v>4.5199999999999996</v>
      </c>
      <c r="N38" s="38">
        <v>15</v>
      </c>
      <c r="O38" s="26">
        <v>50.7</v>
      </c>
      <c r="P38" s="26">
        <v>55</v>
      </c>
      <c r="Q38" s="26">
        <v>100</v>
      </c>
    </row>
    <row r="39" spans="1:17" ht="19.5" customHeight="1" x14ac:dyDescent="0.3">
      <c r="A39" s="13" t="s">
        <v>118</v>
      </c>
      <c r="B39" s="43" t="s">
        <v>244</v>
      </c>
      <c r="C39" s="23">
        <v>27</v>
      </c>
      <c r="D39" s="54">
        <v>5.32</v>
      </c>
      <c r="E39" s="54">
        <v>0.4</v>
      </c>
      <c r="F39" s="54">
        <v>6.72</v>
      </c>
      <c r="G39" s="44">
        <v>15779.32</v>
      </c>
      <c r="H39" s="22"/>
      <c r="I39" s="22">
        <v>2.8</v>
      </c>
      <c r="J39" s="22">
        <v>49.7</v>
      </c>
      <c r="K39" s="54">
        <v>2.6360000000000001</v>
      </c>
      <c r="L39" s="54">
        <v>0.58199999999999996</v>
      </c>
      <c r="M39" s="54">
        <v>2.97</v>
      </c>
      <c r="N39" s="44">
        <v>22357</v>
      </c>
      <c r="O39" s="22">
        <v>22.7</v>
      </c>
      <c r="P39" s="22">
        <v>69.8</v>
      </c>
      <c r="Q39" s="22">
        <v>100</v>
      </c>
    </row>
    <row r="40" spans="1:17" ht="19.5" customHeight="1" x14ac:dyDescent="0.3">
      <c r="A40" s="17" t="s">
        <v>245</v>
      </c>
      <c r="B40" s="37" t="s">
        <v>246</v>
      </c>
      <c r="C40" s="27">
        <v>39</v>
      </c>
      <c r="D40" s="53">
        <v>4.97</v>
      </c>
      <c r="E40" s="53">
        <v>0.48</v>
      </c>
      <c r="F40" s="53">
        <v>5.44</v>
      </c>
      <c r="G40" s="38">
        <v>5107.3019999999997</v>
      </c>
      <c r="H40" s="26"/>
      <c r="I40" s="26">
        <v>9</v>
      </c>
      <c r="J40" s="26">
        <v>70</v>
      </c>
      <c r="K40" s="53">
        <v>2.012</v>
      </c>
      <c r="L40" s="53"/>
      <c r="M40" s="53">
        <v>10.67</v>
      </c>
      <c r="N40" s="38">
        <v>158</v>
      </c>
      <c r="O40" s="26">
        <v>29.9</v>
      </c>
      <c r="P40" s="26">
        <v>68.2</v>
      </c>
      <c r="Q40" s="26">
        <v>100</v>
      </c>
    </row>
    <row r="41" spans="1:17" ht="19.5" customHeight="1" x14ac:dyDescent="0.3">
      <c r="A41" s="13" t="s">
        <v>247</v>
      </c>
      <c r="B41" s="43" t="s">
        <v>248</v>
      </c>
      <c r="C41" s="23">
        <v>21</v>
      </c>
      <c r="D41" s="54">
        <v>3.38</v>
      </c>
      <c r="E41" s="54">
        <v>0.37</v>
      </c>
      <c r="F41" s="54">
        <v>6.52</v>
      </c>
      <c r="G41" s="44">
        <v>632.04200000000003</v>
      </c>
      <c r="H41" s="22"/>
      <c r="I41" s="22">
        <v>3.6</v>
      </c>
      <c r="J41" s="22">
        <v>76.900000000000006</v>
      </c>
      <c r="K41" s="54">
        <v>2.2730000000000001</v>
      </c>
      <c r="L41" s="54">
        <v>6.2510000000000003</v>
      </c>
      <c r="M41" s="54">
        <v>6.13</v>
      </c>
      <c r="N41" s="44">
        <v>1064</v>
      </c>
      <c r="O41" s="22">
        <v>11.8</v>
      </c>
      <c r="P41" s="22">
        <v>94</v>
      </c>
      <c r="Q41" s="22">
        <v>33.200000000000003</v>
      </c>
    </row>
    <row r="42" spans="1:17" ht="19.5" customHeight="1" x14ac:dyDescent="0.3">
      <c r="A42" s="17" t="s">
        <v>249</v>
      </c>
      <c r="B42" s="37" t="s">
        <v>250</v>
      </c>
      <c r="C42" s="27">
        <v>46</v>
      </c>
      <c r="D42" s="53">
        <v>6.48</v>
      </c>
      <c r="E42" s="53">
        <v>0.61</v>
      </c>
      <c r="F42" s="53">
        <v>7.5</v>
      </c>
      <c r="G42" s="38">
        <v>5572.98</v>
      </c>
      <c r="H42" s="26"/>
      <c r="I42" s="26">
        <v>19.2</v>
      </c>
      <c r="J42" s="26">
        <v>65.3</v>
      </c>
      <c r="K42" s="53">
        <v>1.7889999999999999</v>
      </c>
      <c r="L42" s="53"/>
      <c r="M42" s="53">
        <v>7.13</v>
      </c>
      <c r="N42" s="38">
        <v>17</v>
      </c>
      <c r="O42" s="26">
        <v>63.5</v>
      </c>
      <c r="P42" s="26">
        <v>60.3</v>
      </c>
      <c r="Q42" s="26">
        <v>56.2</v>
      </c>
    </row>
    <row r="43" spans="1:17" ht="19.5" customHeight="1" x14ac:dyDescent="0.3">
      <c r="A43" s="13" t="s">
        <v>106</v>
      </c>
      <c r="B43" s="43" t="s">
        <v>251</v>
      </c>
      <c r="C43" s="23">
        <v>15</v>
      </c>
      <c r="D43" s="54">
        <v>1.08</v>
      </c>
      <c r="E43" s="54"/>
      <c r="F43" s="54"/>
      <c r="G43" s="44"/>
      <c r="H43" s="22"/>
      <c r="I43" s="22">
        <v>2.9</v>
      </c>
      <c r="J43" s="22"/>
      <c r="K43" s="54">
        <v>2.911</v>
      </c>
      <c r="L43" s="54"/>
      <c r="M43" s="54"/>
      <c r="N43" s="44">
        <v>9</v>
      </c>
      <c r="O43" s="22">
        <v>30.3</v>
      </c>
      <c r="P43" s="22">
        <v>87</v>
      </c>
      <c r="Q43" s="22">
        <v>54.7</v>
      </c>
    </row>
    <row r="44" spans="1:17" ht="19.5" customHeight="1" x14ac:dyDescent="0.3">
      <c r="A44" s="17" t="s">
        <v>252</v>
      </c>
      <c r="B44" s="37" t="s">
        <v>253</v>
      </c>
      <c r="C44" s="27">
        <v>81</v>
      </c>
      <c r="D44" s="53">
        <v>9.81</v>
      </c>
      <c r="E44" s="53">
        <v>0.89</v>
      </c>
      <c r="F44" s="53">
        <v>8.69</v>
      </c>
      <c r="G44" s="38">
        <v>105876.9</v>
      </c>
      <c r="H44" s="26"/>
      <c r="I44" s="26">
        <v>4</v>
      </c>
      <c r="J44" s="26">
        <v>55.1</v>
      </c>
      <c r="K44" s="53">
        <v>1.6439999999999999</v>
      </c>
      <c r="L44" s="53">
        <v>1.198</v>
      </c>
      <c r="M44" s="53">
        <v>4.53</v>
      </c>
      <c r="N44" s="38">
        <v>8</v>
      </c>
      <c r="O44" s="26">
        <v>77.7</v>
      </c>
      <c r="P44" s="26">
        <v>14.5</v>
      </c>
      <c r="Q44" s="26">
        <v>100</v>
      </c>
    </row>
    <row r="45" spans="1:17" ht="19.5" customHeight="1" x14ac:dyDescent="0.3">
      <c r="A45" s="13" t="s">
        <v>254</v>
      </c>
      <c r="B45" s="43" t="s">
        <v>255</v>
      </c>
      <c r="C45" s="23">
        <v>52</v>
      </c>
      <c r="D45" s="54">
        <v>3.05</v>
      </c>
      <c r="E45" s="54"/>
      <c r="F45" s="54">
        <v>5.71</v>
      </c>
      <c r="G45" s="44">
        <v>21644.87</v>
      </c>
      <c r="H45" s="22"/>
      <c r="I45" s="22">
        <v>3.2</v>
      </c>
      <c r="J45" s="22">
        <v>35.5</v>
      </c>
      <c r="K45" s="54">
        <v>1.738</v>
      </c>
      <c r="L45" s="54">
        <v>2.927</v>
      </c>
      <c r="M45" s="54">
        <v>20.13</v>
      </c>
      <c r="N45" s="44">
        <v>5</v>
      </c>
      <c r="O45" s="22">
        <v>65.900000000000006</v>
      </c>
      <c r="P45" s="22">
        <v>48.7</v>
      </c>
      <c r="Q45" s="22">
        <v>100</v>
      </c>
    </row>
    <row r="46" spans="1:17" ht="19.5" customHeight="1" x14ac:dyDescent="0.3">
      <c r="A46" s="17" t="s">
        <v>77</v>
      </c>
      <c r="B46" s="37" t="s">
        <v>256</v>
      </c>
      <c r="C46" s="27">
        <v>33</v>
      </c>
      <c r="D46" s="53">
        <v>6.84</v>
      </c>
      <c r="E46" s="53">
        <v>0.52</v>
      </c>
      <c r="F46" s="53">
        <v>7.92</v>
      </c>
      <c r="G46" s="38">
        <v>20563.59</v>
      </c>
      <c r="H46" s="26"/>
      <c r="I46" s="26">
        <v>6.6</v>
      </c>
      <c r="J46" s="26">
        <v>56.6</v>
      </c>
      <c r="K46" s="53">
        <v>2.0059999999999998</v>
      </c>
      <c r="L46" s="53"/>
      <c r="M46" s="53"/>
      <c r="N46" s="38">
        <v>34</v>
      </c>
      <c r="O46" s="26">
        <v>52.6</v>
      </c>
      <c r="P46" s="26">
        <v>48.7</v>
      </c>
      <c r="Q46" s="26">
        <v>95</v>
      </c>
    </row>
    <row r="47" spans="1:17" ht="19.5" customHeight="1" x14ac:dyDescent="0.3">
      <c r="A47" s="13" t="s">
        <v>257</v>
      </c>
      <c r="B47" s="43" t="s">
        <v>258</v>
      </c>
      <c r="C47" s="23">
        <v>32</v>
      </c>
      <c r="D47" s="54">
        <v>6.63</v>
      </c>
      <c r="E47" s="54">
        <v>0.46</v>
      </c>
      <c r="F47" s="54">
        <v>6.6</v>
      </c>
      <c r="G47" s="44">
        <v>4442.5510000000004</v>
      </c>
      <c r="H47" s="22"/>
      <c r="I47" s="22">
        <v>2.2000000000000002</v>
      </c>
      <c r="J47" s="22">
        <v>60.7</v>
      </c>
      <c r="K47" s="54">
        <v>2.1480000000000001</v>
      </c>
      <c r="L47" s="54">
        <v>5.1660000000000004</v>
      </c>
      <c r="M47" s="54">
        <v>5.44</v>
      </c>
      <c r="N47" s="44">
        <v>1946</v>
      </c>
      <c r="O47" s="22">
        <v>23.7</v>
      </c>
      <c r="P47" s="22">
        <v>77.8</v>
      </c>
      <c r="Q47" s="22">
        <v>94.8</v>
      </c>
    </row>
    <row r="48" spans="1:17" ht="19.5" customHeight="1" x14ac:dyDescent="0.3">
      <c r="A48" s="17" t="s">
        <v>259</v>
      </c>
      <c r="B48" s="37" t="s">
        <v>260</v>
      </c>
      <c r="C48" s="27">
        <v>53</v>
      </c>
      <c r="D48" s="53">
        <v>7.4</v>
      </c>
      <c r="E48" s="53">
        <v>0.66</v>
      </c>
      <c r="F48" s="53">
        <v>7.76</v>
      </c>
      <c r="G48" s="38">
        <v>31335.95</v>
      </c>
      <c r="H48" s="26"/>
      <c r="I48" s="26">
        <v>2.5</v>
      </c>
      <c r="J48" s="26">
        <v>55.1</v>
      </c>
      <c r="K48" s="53">
        <v>1.7130000000000001</v>
      </c>
      <c r="L48" s="53">
        <v>1.962</v>
      </c>
      <c r="M48" s="53">
        <v>8.4700000000000006</v>
      </c>
      <c r="N48" s="38">
        <v>172</v>
      </c>
      <c r="O48" s="26">
        <v>64</v>
      </c>
      <c r="P48" s="26">
        <v>45.2</v>
      </c>
      <c r="Q48" s="26">
        <v>100</v>
      </c>
    </row>
    <row r="49" spans="1:17" ht="19.5" customHeight="1" x14ac:dyDescent="0.3">
      <c r="A49" s="13" t="s">
        <v>261</v>
      </c>
      <c r="B49" s="43" t="s">
        <v>262</v>
      </c>
      <c r="C49" s="23">
        <v>56</v>
      </c>
      <c r="D49" s="54">
        <v>8.08</v>
      </c>
      <c r="E49" s="54">
        <v>0.67</v>
      </c>
      <c r="F49" s="54">
        <v>8.6199999999999992</v>
      </c>
      <c r="G49" s="44">
        <v>35433.54</v>
      </c>
      <c r="H49" s="22">
        <v>1.9</v>
      </c>
      <c r="I49" s="22">
        <v>6.4</v>
      </c>
      <c r="J49" s="22">
        <v>93.6</v>
      </c>
      <c r="K49" s="54">
        <v>1.371</v>
      </c>
      <c r="L49" s="54"/>
      <c r="M49" s="54">
        <v>3.57</v>
      </c>
      <c r="N49" s="44">
        <v>7</v>
      </c>
      <c r="O49" s="22">
        <v>70.599999999999994</v>
      </c>
      <c r="P49" s="22">
        <v>25.7</v>
      </c>
      <c r="Q49" s="22">
        <v>100</v>
      </c>
    </row>
    <row r="50" spans="1:17" ht="19.5" customHeight="1" x14ac:dyDescent="0.3">
      <c r="A50" s="17" t="s">
        <v>263</v>
      </c>
      <c r="B50" s="37" t="s">
        <v>264</v>
      </c>
      <c r="C50" s="27">
        <v>58</v>
      </c>
      <c r="D50" s="53">
        <v>3.17</v>
      </c>
      <c r="E50" s="53">
        <v>0.62</v>
      </c>
      <c r="F50" s="53">
        <v>5.49</v>
      </c>
      <c r="G50" s="38">
        <v>68138.3</v>
      </c>
      <c r="H50" s="26"/>
      <c r="I50" s="26">
        <v>0.2</v>
      </c>
      <c r="J50" s="26">
        <v>40.799999999999997</v>
      </c>
      <c r="K50" s="53">
        <v>1.593</v>
      </c>
      <c r="L50" s="53"/>
      <c r="M50" s="53"/>
      <c r="N50" s="38">
        <v>2</v>
      </c>
      <c r="O50" s="26">
        <v>84.4</v>
      </c>
      <c r="P50" s="26">
        <v>40.5</v>
      </c>
      <c r="Q50" s="26">
        <v>100</v>
      </c>
    </row>
    <row r="51" spans="1:17" ht="19.5" customHeight="1" x14ac:dyDescent="0.3">
      <c r="A51" s="13" t="s">
        <v>265</v>
      </c>
      <c r="B51" s="43" t="s">
        <v>266</v>
      </c>
      <c r="C51" s="23">
        <v>45</v>
      </c>
      <c r="D51" s="54">
        <v>5.99</v>
      </c>
      <c r="E51" s="54">
        <v>0.61</v>
      </c>
      <c r="F51" s="54">
        <v>8.06</v>
      </c>
      <c r="G51" s="44">
        <v>25692.97</v>
      </c>
      <c r="H51" s="22"/>
      <c r="I51" s="22">
        <v>5.4</v>
      </c>
      <c r="J51" s="22">
        <v>54.8</v>
      </c>
      <c r="K51" s="54">
        <v>1.7210000000000001</v>
      </c>
      <c r="L51" s="54"/>
      <c r="M51" s="54">
        <v>5.85</v>
      </c>
      <c r="N51" s="44">
        <v>25</v>
      </c>
      <c r="O51" s="22">
        <v>56.4</v>
      </c>
      <c r="P51" s="22">
        <v>53</v>
      </c>
      <c r="Q51" s="22">
        <v>100</v>
      </c>
    </row>
    <row r="52" spans="1:17" ht="19.5" customHeight="1" x14ac:dyDescent="0.3">
      <c r="A52" s="17" t="s">
        <v>133</v>
      </c>
      <c r="B52" s="37" t="s">
        <v>267</v>
      </c>
      <c r="C52" s="27">
        <v>22</v>
      </c>
      <c r="D52" s="53">
        <v>2.0299999999999998</v>
      </c>
      <c r="E52" s="53">
        <v>0.41</v>
      </c>
      <c r="F52" s="53">
        <v>4.8600000000000003</v>
      </c>
      <c r="G52" s="38">
        <v>18525.490000000002</v>
      </c>
      <c r="H52" s="26"/>
      <c r="I52" s="26">
        <v>2.6</v>
      </c>
      <c r="J52" s="26">
        <v>16.399999999999999</v>
      </c>
      <c r="K52" s="53">
        <v>3.4409999999999998</v>
      </c>
      <c r="L52" s="53">
        <v>6.2670000000000003</v>
      </c>
      <c r="M52" s="53">
        <v>18.899999999999999</v>
      </c>
      <c r="N52" s="38">
        <v>32911</v>
      </c>
      <c r="O52" s="26">
        <v>13.3</v>
      </c>
      <c r="P52" s="26">
        <v>80.7</v>
      </c>
      <c r="Q52" s="26">
        <v>100</v>
      </c>
    </row>
    <row r="53" spans="1:17" ht="19.5" customHeight="1" x14ac:dyDescent="0.3">
      <c r="A53" s="13" t="s">
        <v>268</v>
      </c>
      <c r="B53" s="43" t="s">
        <v>269</v>
      </c>
      <c r="C53" s="23">
        <v>57</v>
      </c>
      <c r="D53" s="54">
        <v>2.08</v>
      </c>
      <c r="E53" s="54"/>
      <c r="F53" s="54">
        <v>4.97</v>
      </c>
      <c r="G53" s="44">
        <v>37811.370000000003</v>
      </c>
      <c r="H53" s="22"/>
      <c r="I53" s="22">
        <v>3.9</v>
      </c>
      <c r="J53" s="22">
        <v>26.2</v>
      </c>
      <c r="K53" s="54">
        <v>2.0350000000000001</v>
      </c>
      <c r="L53" s="54">
        <v>0.84499999999999997</v>
      </c>
      <c r="M53" s="54">
        <v>22.31</v>
      </c>
      <c r="N53" s="44">
        <v>14</v>
      </c>
      <c r="O53" s="22">
        <v>39.799999999999997</v>
      </c>
      <c r="P53" s="22">
        <v>65.3</v>
      </c>
      <c r="Q53" s="22">
        <v>100</v>
      </c>
    </row>
    <row r="54" spans="1:17" ht="19.5" customHeight="1" x14ac:dyDescent="0.3">
      <c r="A54" s="17" t="s">
        <v>270</v>
      </c>
      <c r="B54" s="37" t="s">
        <v>271</v>
      </c>
      <c r="C54" s="27">
        <v>84</v>
      </c>
      <c r="D54" s="53">
        <v>6.18</v>
      </c>
      <c r="E54" s="53">
        <v>0.78</v>
      </c>
      <c r="F54" s="53">
        <v>7.73</v>
      </c>
      <c r="G54" s="38">
        <v>107758</v>
      </c>
      <c r="H54" s="26"/>
      <c r="I54" s="26">
        <v>3.2</v>
      </c>
      <c r="J54" s="26">
        <v>173</v>
      </c>
      <c r="K54" s="53">
        <v>1.357</v>
      </c>
      <c r="L54" s="53"/>
      <c r="M54" s="53">
        <v>20.13</v>
      </c>
      <c r="N54" s="38">
        <v>0</v>
      </c>
      <c r="O54" s="26">
        <v>97.2</v>
      </c>
      <c r="P54" s="26">
        <v>25.5</v>
      </c>
      <c r="Q54" s="26">
        <v>100</v>
      </c>
    </row>
    <row r="55" spans="1:17" ht="19.5" customHeight="1" x14ac:dyDescent="0.3">
      <c r="A55" s="13" t="s">
        <v>272</v>
      </c>
      <c r="B55" s="43" t="s">
        <v>273</v>
      </c>
      <c r="C55" s="23">
        <v>9</v>
      </c>
      <c r="D55" s="54"/>
      <c r="E55" s="54"/>
      <c r="F55" s="54">
        <v>4.87</v>
      </c>
      <c r="G55" s="44">
        <v>812.86</v>
      </c>
      <c r="H55" s="22"/>
      <c r="I55" s="22">
        <v>18.899999999999999</v>
      </c>
      <c r="J55" s="22"/>
      <c r="K55" s="54">
        <v>2.9830000000000001</v>
      </c>
      <c r="L55" s="54">
        <v>7.6139999999999999</v>
      </c>
      <c r="M55" s="54">
        <v>21.57</v>
      </c>
      <c r="N55" s="44">
        <v>10447</v>
      </c>
      <c r="O55" s="22">
        <v>2.8</v>
      </c>
      <c r="P55" s="22">
        <v>111.9</v>
      </c>
      <c r="Q55" s="22">
        <v>48.9</v>
      </c>
    </row>
    <row r="56" spans="1:17" ht="19.5" customHeight="1" x14ac:dyDescent="0.3">
      <c r="A56" s="17" t="s">
        <v>91</v>
      </c>
      <c r="B56" s="37" t="s">
        <v>275</v>
      </c>
      <c r="C56" s="27">
        <v>41</v>
      </c>
      <c r="D56" s="53">
        <v>7.16</v>
      </c>
      <c r="E56" s="53">
        <v>0.56000000000000005</v>
      </c>
      <c r="F56" s="53">
        <v>7.07</v>
      </c>
      <c r="G56" s="38">
        <v>7502.97</v>
      </c>
      <c r="H56" s="26"/>
      <c r="I56" s="26">
        <v>33.200000000000003</v>
      </c>
      <c r="J56" s="26">
        <v>76.900000000000006</v>
      </c>
      <c r="K56" s="53">
        <v>2.347</v>
      </c>
      <c r="L56" s="53"/>
      <c r="M56" s="53">
        <v>2.11</v>
      </c>
      <c r="N56" s="38">
        <v>1025</v>
      </c>
      <c r="O56" s="26">
        <v>20.9</v>
      </c>
      <c r="P56" s="26">
        <v>72</v>
      </c>
      <c r="Q56" s="26">
        <v>86.5</v>
      </c>
    </row>
    <row r="57" spans="1:17" ht="19.5" customHeight="1" x14ac:dyDescent="0.3">
      <c r="A57" s="13" t="s">
        <v>276</v>
      </c>
      <c r="B57" s="43" t="s">
        <v>277</v>
      </c>
      <c r="C57" s="23">
        <v>63</v>
      </c>
      <c r="D57" s="54">
        <v>7.75</v>
      </c>
      <c r="E57" s="54">
        <v>0.74</v>
      </c>
      <c r="F57" s="54">
        <v>8.15</v>
      </c>
      <c r="G57" s="44">
        <v>37412.080000000002</v>
      </c>
      <c r="H57" s="22">
        <v>2</v>
      </c>
      <c r="I57" s="22">
        <v>2.7</v>
      </c>
      <c r="J57" s="22">
        <v>46.8</v>
      </c>
      <c r="K57" s="54">
        <v>1.736</v>
      </c>
      <c r="L57" s="54">
        <v>0.58199999999999996</v>
      </c>
      <c r="M57" s="54">
        <v>11.32</v>
      </c>
      <c r="N57" s="44">
        <v>9</v>
      </c>
      <c r="O57" s="22">
        <v>68.2</v>
      </c>
      <c r="P57" s="22">
        <v>31.5</v>
      </c>
      <c r="Q57" s="22">
        <v>100</v>
      </c>
    </row>
    <row r="58" spans="1:17" ht="19.5" customHeight="1" x14ac:dyDescent="0.3">
      <c r="A58" s="17" t="s">
        <v>278</v>
      </c>
      <c r="B58" s="37" t="s">
        <v>279</v>
      </c>
      <c r="C58" s="27">
        <v>55</v>
      </c>
      <c r="D58" s="53">
        <v>8.1300000000000008</v>
      </c>
      <c r="E58" s="53">
        <v>0.71</v>
      </c>
      <c r="F58" s="53">
        <v>8.3699999999999992</v>
      </c>
      <c r="G58" s="38">
        <v>41563.18</v>
      </c>
      <c r="H58" s="26">
        <v>2.4</v>
      </c>
      <c r="I58" s="26">
        <v>11.4</v>
      </c>
      <c r="J58" s="26">
        <v>102</v>
      </c>
      <c r="K58" s="53">
        <v>1.5780000000000001</v>
      </c>
      <c r="L58" s="53">
        <v>1.256</v>
      </c>
      <c r="M58" s="53">
        <v>3.2</v>
      </c>
      <c r="N58" s="38">
        <v>50</v>
      </c>
      <c r="O58" s="26">
        <v>55</v>
      </c>
      <c r="P58" s="26">
        <v>43.5</v>
      </c>
      <c r="Q58" s="26">
        <v>100</v>
      </c>
    </row>
    <row r="59" spans="1:17" ht="19.5" customHeight="1" x14ac:dyDescent="0.3">
      <c r="A59" s="13" t="s">
        <v>280</v>
      </c>
      <c r="B59" s="43" t="s">
        <v>281</v>
      </c>
      <c r="C59" s="23">
        <v>80</v>
      </c>
      <c r="D59" s="54">
        <v>9.39</v>
      </c>
      <c r="E59" s="54">
        <v>0.85</v>
      </c>
      <c r="F59" s="54">
        <v>8.74</v>
      </c>
      <c r="G59" s="44">
        <v>70675.66</v>
      </c>
      <c r="H59" s="22"/>
      <c r="I59" s="22">
        <v>8.6</v>
      </c>
      <c r="J59" s="22">
        <v>34</v>
      </c>
      <c r="K59" s="54">
        <v>1.7090000000000001</v>
      </c>
      <c r="L59" s="54">
        <v>1.8420000000000001</v>
      </c>
      <c r="M59" s="54">
        <v>4.12</v>
      </c>
      <c r="N59" s="44">
        <v>11</v>
      </c>
      <c r="O59" s="22">
        <v>73.5</v>
      </c>
      <c r="P59" s="22">
        <v>20.6</v>
      </c>
      <c r="Q59" s="22">
        <v>100</v>
      </c>
    </row>
    <row r="60" spans="1:17" ht="19.5" customHeight="1" x14ac:dyDescent="0.3">
      <c r="A60" s="17" t="s">
        <v>282</v>
      </c>
      <c r="B60" s="37" t="s">
        <v>283</v>
      </c>
      <c r="C60" s="27">
        <v>68</v>
      </c>
      <c r="D60" s="53">
        <v>8.7799999999999994</v>
      </c>
      <c r="E60" s="53"/>
      <c r="F60" s="53">
        <v>8.7200000000000006</v>
      </c>
      <c r="G60" s="38">
        <v>42102.7</v>
      </c>
      <c r="H60" s="26"/>
      <c r="I60" s="26">
        <v>3.4</v>
      </c>
      <c r="J60" s="26"/>
      <c r="K60" s="53">
        <v>1.73</v>
      </c>
      <c r="L60" s="53"/>
      <c r="M60" s="53">
        <v>12.06</v>
      </c>
      <c r="N60" s="38">
        <v>0</v>
      </c>
      <c r="O60" s="26">
        <v>74.400000000000006</v>
      </c>
      <c r="P60" s="26"/>
      <c r="Q60" s="26"/>
    </row>
    <row r="61" spans="1:17" ht="19.5" customHeight="1" x14ac:dyDescent="0.3">
      <c r="A61" s="13" t="s">
        <v>284</v>
      </c>
      <c r="B61" s="43" t="s">
        <v>285</v>
      </c>
      <c r="C61" s="23">
        <v>33</v>
      </c>
      <c r="D61" s="54">
        <v>6.27</v>
      </c>
      <c r="E61" s="54">
        <v>0.5</v>
      </c>
      <c r="F61" s="54">
        <v>6.79</v>
      </c>
      <c r="G61" s="44">
        <v>8105.0680000000002</v>
      </c>
      <c r="H61" s="22"/>
      <c r="I61" s="22">
        <v>0.7</v>
      </c>
      <c r="J61" s="22">
        <v>63.7</v>
      </c>
      <c r="K61" s="54">
        <v>2.0169999999999999</v>
      </c>
      <c r="L61" s="54">
        <v>4.63</v>
      </c>
      <c r="M61" s="54">
        <v>4.54</v>
      </c>
      <c r="N61" s="44">
        <v>540</v>
      </c>
      <c r="O61" s="22">
        <v>36</v>
      </c>
      <c r="P61" s="22">
        <v>68</v>
      </c>
      <c r="Q61" s="22">
        <v>99.9</v>
      </c>
    </row>
    <row r="62" spans="1:17" ht="19.5" customHeight="1" x14ac:dyDescent="0.3">
      <c r="A62" s="17" t="s">
        <v>82</v>
      </c>
      <c r="B62" s="37" t="s">
        <v>286</v>
      </c>
      <c r="C62" s="27">
        <v>31</v>
      </c>
      <c r="D62" s="53">
        <v>4.26</v>
      </c>
      <c r="E62" s="53">
        <v>0.41</v>
      </c>
      <c r="F62" s="53">
        <v>5.0999999999999996</v>
      </c>
      <c r="G62" s="38">
        <v>19018.18</v>
      </c>
      <c r="H62" s="26">
        <v>30.65</v>
      </c>
      <c r="I62" s="26">
        <v>8.5</v>
      </c>
      <c r="J62" s="26">
        <v>24.7</v>
      </c>
      <c r="K62" s="53">
        <v>2.8519999999999999</v>
      </c>
      <c r="L62" s="53">
        <v>3.968</v>
      </c>
      <c r="M62" s="53"/>
      <c r="N62" s="38">
        <v>674</v>
      </c>
      <c r="O62" s="26">
        <v>13.7</v>
      </c>
      <c r="P62" s="26">
        <v>81.2</v>
      </c>
      <c r="Q62" s="26">
        <v>100</v>
      </c>
    </row>
    <row r="63" spans="1:17" ht="19.5" customHeight="1" x14ac:dyDescent="0.3">
      <c r="A63" s="13" t="s">
        <v>287</v>
      </c>
      <c r="B63" s="43" t="s">
        <v>288</v>
      </c>
      <c r="C63" s="23">
        <v>36</v>
      </c>
      <c r="D63" s="54">
        <v>4.9000000000000004</v>
      </c>
      <c r="E63" s="54">
        <v>0.48</v>
      </c>
      <c r="F63" s="54">
        <v>5.87</v>
      </c>
      <c r="G63" s="44">
        <v>6980.1180000000004</v>
      </c>
      <c r="H63" s="22"/>
      <c r="I63" s="22"/>
      <c r="J63" s="22">
        <v>89.8</v>
      </c>
      <c r="K63" s="54">
        <v>3.4340000000000002</v>
      </c>
      <c r="L63" s="54">
        <v>2.0030000000000001</v>
      </c>
      <c r="M63" s="54">
        <v>54.01</v>
      </c>
      <c r="N63" s="44">
        <v>184112</v>
      </c>
      <c r="O63" s="22">
        <v>10.9</v>
      </c>
      <c r="P63" s="22">
        <v>95.9</v>
      </c>
      <c r="Q63" s="22">
        <v>100</v>
      </c>
    </row>
    <row r="64" spans="1:17" ht="19.5" customHeight="1" x14ac:dyDescent="0.3">
      <c r="A64" s="17" t="s">
        <v>289</v>
      </c>
      <c r="B64" s="37" t="s">
        <v>290</v>
      </c>
      <c r="C64" s="27">
        <v>69</v>
      </c>
      <c r="D64" s="53">
        <v>3.07</v>
      </c>
      <c r="E64" s="53">
        <v>0.64</v>
      </c>
      <c r="F64" s="53">
        <v>5.81</v>
      </c>
      <c r="G64" s="38">
        <v>54214.400000000001</v>
      </c>
      <c r="H64" s="26"/>
      <c r="I64" s="26">
        <v>2.2000000000000002</v>
      </c>
      <c r="J64" s="26">
        <v>32.1</v>
      </c>
      <c r="K64" s="53">
        <v>1.8120000000000001</v>
      </c>
      <c r="L64" s="53">
        <v>1.1779999999999999</v>
      </c>
      <c r="M64" s="53"/>
      <c r="N64" s="38">
        <v>4</v>
      </c>
      <c r="O64" s="26">
        <v>70.099999999999994</v>
      </c>
      <c r="P64" s="26">
        <v>37</v>
      </c>
      <c r="Q64" s="26">
        <v>100</v>
      </c>
    </row>
    <row r="65" spans="1:17" ht="19.5" customHeight="1" x14ac:dyDescent="0.3">
      <c r="A65" s="13" t="s">
        <v>291</v>
      </c>
      <c r="B65" s="43" t="s">
        <v>292</v>
      </c>
      <c r="C65" s="23">
        <v>70</v>
      </c>
      <c r="D65" s="54">
        <v>8.34</v>
      </c>
      <c r="E65" s="54">
        <v>0.78</v>
      </c>
      <c r="F65" s="54">
        <v>8.6</v>
      </c>
      <c r="G65" s="44">
        <v>61056.1</v>
      </c>
      <c r="H65" s="22"/>
      <c r="I65" s="22">
        <v>4.2</v>
      </c>
      <c r="J65" s="22">
        <v>93.6</v>
      </c>
      <c r="K65" s="54">
        <v>1.6339999999999999</v>
      </c>
      <c r="L65" s="54">
        <v>2.6389999999999998</v>
      </c>
      <c r="M65" s="54">
        <v>5.25</v>
      </c>
      <c r="N65" s="44">
        <v>61</v>
      </c>
      <c r="O65" s="22">
        <v>62.1</v>
      </c>
      <c r="P65" s="22">
        <v>41.9</v>
      </c>
      <c r="Q65" s="22">
        <v>100</v>
      </c>
    </row>
    <row r="66" spans="1:17" ht="19.5" customHeight="1" x14ac:dyDescent="0.3">
      <c r="A66" s="17" t="s">
        <v>293</v>
      </c>
      <c r="B66" s="37" t="s">
        <v>294</v>
      </c>
      <c r="C66" s="27">
        <v>64</v>
      </c>
      <c r="D66" s="53">
        <v>7.85</v>
      </c>
      <c r="E66" s="53">
        <v>0.68</v>
      </c>
      <c r="F66" s="53">
        <v>8.7100000000000009</v>
      </c>
      <c r="G66" s="38">
        <v>94429.75</v>
      </c>
      <c r="H66" s="26"/>
      <c r="I66" s="26">
        <v>4.2</v>
      </c>
      <c r="J66" s="26">
        <v>124</v>
      </c>
      <c r="K66" s="53">
        <v>2.4430000000000001</v>
      </c>
      <c r="L66" s="53">
        <v>3.5169999999999999</v>
      </c>
      <c r="M66" s="53">
        <v>9.11</v>
      </c>
      <c r="N66" s="38">
        <v>402</v>
      </c>
      <c r="O66" s="26">
        <v>47.4</v>
      </c>
      <c r="P66" s="26">
        <v>45.3</v>
      </c>
      <c r="Q66" s="26">
        <v>100</v>
      </c>
    </row>
    <row r="67" spans="1:17" ht="19.5" customHeight="1" x14ac:dyDescent="0.3">
      <c r="A67" s="13" t="s">
        <v>295</v>
      </c>
      <c r="B67" s="43" t="s">
        <v>296</v>
      </c>
      <c r="C67" s="23">
        <v>41</v>
      </c>
      <c r="D67" s="54">
        <v>2.62</v>
      </c>
      <c r="E67" s="54">
        <v>0.5</v>
      </c>
      <c r="F67" s="54">
        <v>5.29</v>
      </c>
      <c r="G67" s="44">
        <v>5115.2359999999999</v>
      </c>
      <c r="H67" s="22"/>
      <c r="I67" s="22">
        <v>1.5</v>
      </c>
      <c r="J67" s="22">
        <v>32.9</v>
      </c>
      <c r="K67" s="54">
        <v>1.7210000000000001</v>
      </c>
      <c r="L67" s="54"/>
      <c r="M67" s="54"/>
      <c r="N67" s="44">
        <v>5</v>
      </c>
      <c r="O67" s="22">
        <v>45</v>
      </c>
      <c r="P67" s="22">
        <v>58.3</v>
      </c>
      <c r="Q67" s="22">
        <v>100</v>
      </c>
    </row>
    <row r="68" spans="1:17" ht="19.5" customHeight="1" x14ac:dyDescent="0.3">
      <c r="A68" s="17" t="s">
        <v>297</v>
      </c>
      <c r="B68" s="37" t="s">
        <v>298</v>
      </c>
      <c r="C68" s="27">
        <v>13</v>
      </c>
      <c r="D68" s="53">
        <v>1.95</v>
      </c>
      <c r="E68" s="53"/>
      <c r="F68" s="53">
        <v>3.98</v>
      </c>
      <c r="G68" s="38">
        <v>383.74900000000002</v>
      </c>
      <c r="H68" s="26"/>
      <c r="I68" s="26">
        <v>17.100000000000001</v>
      </c>
      <c r="J68" s="26">
        <v>70.900000000000006</v>
      </c>
      <c r="K68" s="53">
        <v>3.262</v>
      </c>
      <c r="L68" s="53">
        <v>5.08</v>
      </c>
      <c r="M68" s="53"/>
      <c r="N68" s="38">
        <v>11914</v>
      </c>
      <c r="O68" s="26">
        <v>0.9</v>
      </c>
      <c r="P68" s="26">
        <v>108.9</v>
      </c>
      <c r="Q68" s="26">
        <v>76</v>
      </c>
    </row>
  </sheetData>
  <mergeCells count="2">
    <mergeCell ref="A2:Q2"/>
    <mergeCell ref="A1:Q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27AE60"/>
  </sheetPr>
  <dimension ref="A1:H68"/>
  <sheetViews>
    <sheetView showGridLines="0" zoomScaleNormal="100" workbookViewId="0">
      <pane xSplit="1" ySplit="3" topLeftCell="B52" activePane="bottomRight" state="frozen"/>
      <selection pane="topRight" activeCell="B1" sqref="B1"/>
      <selection pane="bottomLeft" activeCell="A4" sqref="A4"/>
      <selection pane="bottomRight" activeCell="C66" sqref="C66"/>
    </sheetView>
  </sheetViews>
  <sheetFormatPr defaultColWidth="8.6640625" defaultRowHeight="14.4" x14ac:dyDescent="0.3"/>
  <cols>
    <col min="1" max="1" width="22" customWidth="1"/>
    <col min="2" max="2" width="32" customWidth="1"/>
    <col min="3" max="3" width="40" customWidth="1"/>
    <col min="4" max="5" width="32" customWidth="1"/>
    <col min="6" max="6" width="26" customWidth="1"/>
    <col min="7" max="7" width="20" customWidth="1"/>
    <col min="8" max="8" width="14" customWidth="1"/>
  </cols>
  <sheetData>
    <row r="1" spans="1:8" ht="31.5" customHeight="1" x14ac:dyDescent="0.3">
      <c r="A1" s="130" t="s">
        <v>324</v>
      </c>
      <c r="B1" s="118"/>
      <c r="C1" s="118"/>
      <c r="D1" s="118"/>
      <c r="E1" s="118"/>
      <c r="F1" s="118"/>
      <c r="G1" s="118"/>
      <c r="H1" s="118"/>
    </row>
    <row r="2" spans="1:8" ht="19.5" customHeight="1" x14ac:dyDescent="0.3">
      <c r="A2" s="129" t="s">
        <v>325</v>
      </c>
      <c r="B2" s="118"/>
      <c r="C2" s="118"/>
      <c r="D2" s="118"/>
      <c r="E2" s="118"/>
      <c r="F2" s="118"/>
      <c r="G2" s="118"/>
      <c r="H2" s="118"/>
    </row>
    <row r="3" spans="1:8" ht="31.5" customHeight="1" x14ac:dyDescent="0.3">
      <c r="A3" s="30" t="s">
        <v>166</v>
      </c>
      <c r="B3" s="30" t="s">
        <v>326</v>
      </c>
      <c r="C3" s="30" t="s">
        <v>327</v>
      </c>
      <c r="D3" s="30" t="s">
        <v>328</v>
      </c>
      <c r="E3" s="30" t="s">
        <v>329</v>
      </c>
      <c r="F3" s="30" t="s">
        <v>330</v>
      </c>
      <c r="G3" s="30" t="s">
        <v>331</v>
      </c>
      <c r="H3" s="30" t="s">
        <v>332</v>
      </c>
    </row>
    <row r="4" spans="1:8" ht="90" customHeight="1" x14ac:dyDescent="0.3">
      <c r="A4" s="17" t="s">
        <v>179</v>
      </c>
      <c r="B4" s="55" t="s">
        <v>333</v>
      </c>
      <c r="C4" s="55" t="s">
        <v>334</v>
      </c>
      <c r="D4" s="55" t="s">
        <v>335</v>
      </c>
      <c r="E4" s="55" t="s">
        <v>336</v>
      </c>
      <c r="F4" s="55" t="s">
        <v>337</v>
      </c>
      <c r="G4" s="55" t="s">
        <v>338</v>
      </c>
      <c r="H4" s="55" t="s">
        <v>339</v>
      </c>
    </row>
    <row r="5" spans="1:8" ht="90" customHeight="1" x14ac:dyDescent="0.3">
      <c r="A5" s="13" t="s">
        <v>130</v>
      </c>
      <c r="B5" s="56" t="s">
        <v>340</v>
      </c>
      <c r="C5" s="56" t="s">
        <v>341</v>
      </c>
      <c r="D5" s="56" t="s">
        <v>342</v>
      </c>
      <c r="E5" s="56" t="s">
        <v>343</v>
      </c>
      <c r="F5" s="56" t="s">
        <v>344</v>
      </c>
      <c r="G5" s="56" t="s">
        <v>345</v>
      </c>
      <c r="H5" s="56" t="s">
        <v>346</v>
      </c>
    </row>
    <row r="6" spans="1:8" ht="90" customHeight="1" x14ac:dyDescent="0.3">
      <c r="A6" s="17" t="s">
        <v>111</v>
      </c>
      <c r="B6" s="55" t="s">
        <v>347</v>
      </c>
      <c r="C6" s="55" t="s">
        <v>348</v>
      </c>
      <c r="D6" s="55" t="s">
        <v>349</v>
      </c>
      <c r="E6" s="55" t="s">
        <v>350</v>
      </c>
      <c r="F6" s="55" t="s">
        <v>351</v>
      </c>
      <c r="G6" s="55" t="s">
        <v>345</v>
      </c>
      <c r="H6" s="55" t="s">
        <v>352</v>
      </c>
    </row>
    <row r="7" spans="1:8" ht="90" customHeight="1" x14ac:dyDescent="0.3">
      <c r="A7" s="13" t="s">
        <v>183</v>
      </c>
      <c r="B7" s="56" t="s">
        <v>353</v>
      </c>
      <c r="C7" s="56" t="s">
        <v>354</v>
      </c>
      <c r="D7" s="56" t="s">
        <v>355</v>
      </c>
      <c r="E7" s="56" t="s">
        <v>356</v>
      </c>
      <c r="F7" s="56" t="s">
        <v>357</v>
      </c>
      <c r="G7" s="56" t="s">
        <v>345</v>
      </c>
      <c r="H7" s="56" t="s">
        <v>358</v>
      </c>
    </row>
    <row r="8" spans="1:8" ht="90" customHeight="1" x14ac:dyDescent="0.3">
      <c r="A8" s="17" t="s">
        <v>185</v>
      </c>
      <c r="B8" s="55" t="s">
        <v>359</v>
      </c>
      <c r="C8" s="55" t="s">
        <v>360</v>
      </c>
      <c r="D8" s="55" t="s">
        <v>361</v>
      </c>
      <c r="E8" s="55" t="s">
        <v>362</v>
      </c>
      <c r="F8" s="55" t="s">
        <v>363</v>
      </c>
      <c r="G8" s="55" t="s">
        <v>345</v>
      </c>
      <c r="H8" s="55" t="s">
        <v>364</v>
      </c>
    </row>
    <row r="9" spans="1:8" ht="90" customHeight="1" x14ac:dyDescent="0.3">
      <c r="A9" s="13" t="s">
        <v>187</v>
      </c>
      <c r="B9" s="56" t="s">
        <v>365</v>
      </c>
      <c r="C9" s="56" t="s">
        <v>366</v>
      </c>
      <c r="D9" s="56" t="s">
        <v>367</v>
      </c>
      <c r="E9" s="56" t="s">
        <v>368</v>
      </c>
      <c r="F9" s="56" t="s">
        <v>369</v>
      </c>
      <c r="G9" s="56" t="s">
        <v>370</v>
      </c>
      <c r="H9" s="56" t="s">
        <v>371</v>
      </c>
    </row>
    <row r="10" spans="1:8" ht="90" customHeight="1" x14ac:dyDescent="0.3">
      <c r="A10" s="17" t="s">
        <v>189</v>
      </c>
      <c r="B10" s="55" t="s">
        <v>372</v>
      </c>
      <c r="C10" s="55" t="s">
        <v>373</v>
      </c>
      <c r="D10" s="55" t="s">
        <v>374</v>
      </c>
      <c r="E10" s="55" t="s">
        <v>375</v>
      </c>
      <c r="F10" s="55" t="s">
        <v>376</v>
      </c>
      <c r="G10" s="55" t="s">
        <v>345</v>
      </c>
      <c r="H10" s="55" t="s">
        <v>377</v>
      </c>
    </row>
    <row r="11" spans="1:8" ht="90" customHeight="1" x14ac:dyDescent="0.3">
      <c r="A11" s="13" t="s">
        <v>126</v>
      </c>
      <c r="B11" s="56" t="s">
        <v>378</v>
      </c>
      <c r="C11" s="56" t="s">
        <v>379</v>
      </c>
      <c r="D11" s="56" t="s">
        <v>380</v>
      </c>
      <c r="E11" s="56" t="s">
        <v>381</v>
      </c>
      <c r="F11" s="56" t="s">
        <v>382</v>
      </c>
      <c r="G11" s="56" t="s">
        <v>345</v>
      </c>
      <c r="H11" s="56" t="s">
        <v>346</v>
      </c>
    </row>
    <row r="12" spans="1:8" ht="90" customHeight="1" x14ac:dyDescent="0.3">
      <c r="A12" s="17" t="s">
        <v>192</v>
      </c>
      <c r="B12" s="55" t="s">
        <v>383</v>
      </c>
      <c r="C12" s="55" t="s">
        <v>384</v>
      </c>
      <c r="D12" s="55" t="s">
        <v>385</v>
      </c>
      <c r="E12" s="55" t="s">
        <v>386</v>
      </c>
      <c r="F12" s="55" t="s">
        <v>387</v>
      </c>
      <c r="G12" s="55" t="s">
        <v>345</v>
      </c>
      <c r="H12" s="55" t="s">
        <v>388</v>
      </c>
    </row>
    <row r="13" spans="1:8" ht="90" customHeight="1" x14ac:dyDescent="0.3">
      <c r="A13" s="13" t="s">
        <v>194</v>
      </c>
      <c r="B13" s="56" t="s">
        <v>389</v>
      </c>
      <c r="C13" s="56" t="s">
        <v>390</v>
      </c>
      <c r="D13" s="56" t="s">
        <v>391</v>
      </c>
      <c r="E13" s="56" t="s">
        <v>392</v>
      </c>
      <c r="F13" s="56" t="s">
        <v>393</v>
      </c>
      <c r="G13" s="56" t="s">
        <v>345</v>
      </c>
      <c r="H13" s="56" t="s">
        <v>346</v>
      </c>
    </row>
    <row r="14" spans="1:8" ht="90" customHeight="1" x14ac:dyDescent="0.3">
      <c r="A14" s="17" t="s">
        <v>196</v>
      </c>
      <c r="B14" s="55" t="s">
        <v>394</v>
      </c>
      <c r="C14" s="55" t="s">
        <v>395</v>
      </c>
      <c r="D14" s="55" t="s">
        <v>396</v>
      </c>
      <c r="E14" s="55" t="s">
        <v>397</v>
      </c>
      <c r="F14" s="55" t="s">
        <v>398</v>
      </c>
      <c r="G14" s="55" t="s">
        <v>345</v>
      </c>
      <c r="H14" s="55" t="s">
        <v>358</v>
      </c>
    </row>
    <row r="15" spans="1:8" ht="90" customHeight="1" x14ac:dyDescent="0.3">
      <c r="A15" s="13" t="s">
        <v>198</v>
      </c>
      <c r="B15" s="56" t="s">
        <v>399</v>
      </c>
      <c r="C15" s="56" t="s">
        <v>400</v>
      </c>
      <c r="D15" s="56" t="s">
        <v>401</v>
      </c>
      <c r="E15" s="56" t="s">
        <v>402</v>
      </c>
      <c r="F15" s="56" t="s">
        <v>403</v>
      </c>
      <c r="G15" s="56" t="s">
        <v>345</v>
      </c>
      <c r="H15" s="56" t="s">
        <v>358</v>
      </c>
    </row>
    <row r="16" spans="1:8" ht="90" customHeight="1" x14ac:dyDescent="0.3">
      <c r="A16" s="17" t="s">
        <v>200</v>
      </c>
      <c r="B16" s="55" t="s">
        <v>404</v>
      </c>
      <c r="C16" s="55" t="s">
        <v>405</v>
      </c>
      <c r="D16" s="55" t="s">
        <v>406</v>
      </c>
      <c r="E16" s="55" t="s">
        <v>407</v>
      </c>
      <c r="F16" s="55" t="s">
        <v>408</v>
      </c>
      <c r="G16" s="55" t="s">
        <v>345</v>
      </c>
      <c r="H16" s="55" t="s">
        <v>371</v>
      </c>
    </row>
    <row r="17" spans="1:8" ht="90" customHeight="1" x14ac:dyDescent="0.3">
      <c r="A17" s="13" t="s">
        <v>202</v>
      </c>
      <c r="B17" s="56" t="s">
        <v>409</v>
      </c>
      <c r="C17" s="56" t="s">
        <v>410</v>
      </c>
      <c r="D17" s="56" t="s">
        <v>411</v>
      </c>
      <c r="E17" s="56" t="s">
        <v>412</v>
      </c>
      <c r="F17" s="56" t="s">
        <v>413</v>
      </c>
      <c r="G17" s="56" t="s">
        <v>414</v>
      </c>
      <c r="H17" s="56" t="s">
        <v>339</v>
      </c>
    </row>
    <row r="18" spans="1:8" ht="90" customHeight="1" x14ac:dyDescent="0.3">
      <c r="A18" s="17" t="s">
        <v>204</v>
      </c>
      <c r="B18" s="55" t="s">
        <v>415</v>
      </c>
      <c r="C18" s="55" t="s">
        <v>416</v>
      </c>
      <c r="D18" s="55" t="s">
        <v>417</v>
      </c>
      <c r="E18" s="55" t="s">
        <v>418</v>
      </c>
      <c r="F18" s="55" t="s">
        <v>419</v>
      </c>
      <c r="G18" s="55" t="s">
        <v>420</v>
      </c>
      <c r="H18" s="55" t="s">
        <v>358</v>
      </c>
    </row>
    <row r="19" spans="1:8" ht="90" customHeight="1" x14ac:dyDescent="0.3">
      <c r="A19" s="13" t="s">
        <v>69</v>
      </c>
      <c r="B19" s="56" t="s">
        <v>421</v>
      </c>
      <c r="C19" s="56" t="s">
        <v>422</v>
      </c>
      <c r="D19" s="56" t="s">
        <v>423</v>
      </c>
      <c r="E19" s="56" t="s">
        <v>424</v>
      </c>
      <c r="F19" s="56" t="s">
        <v>425</v>
      </c>
      <c r="G19" s="56" t="s">
        <v>345</v>
      </c>
      <c r="H19" s="56" t="s">
        <v>339</v>
      </c>
    </row>
    <row r="20" spans="1:8" ht="90" customHeight="1" x14ac:dyDescent="0.3">
      <c r="A20" s="17" t="s">
        <v>207</v>
      </c>
      <c r="B20" s="55" t="s">
        <v>426</v>
      </c>
      <c r="C20" s="55" t="s">
        <v>427</v>
      </c>
      <c r="D20" s="55" t="s">
        <v>428</v>
      </c>
      <c r="E20" s="55" t="s">
        <v>429</v>
      </c>
      <c r="F20" s="55" t="s">
        <v>430</v>
      </c>
      <c r="G20" s="55" t="s">
        <v>431</v>
      </c>
      <c r="H20" s="55" t="s">
        <v>339</v>
      </c>
    </row>
    <row r="21" spans="1:8" ht="90" customHeight="1" x14ac:dyDescent="0.3">
      <c r="A21" s="13" t="s">
        <v>209</v>
      </c>
      <c r="B21" s="56" t="s">
        <v>432</v>
      </c>
      <c r="C21" s="56" t="s">
        <v>433</v>
      </c>
      <c r="D21" s="56" t="s">
        <v>434</v>
      </c>
      <c r="E21" s="56" t="s">
        <v>435</v>
      </c>
      <c r="F21" s="56" t="s">
        <v>436</v>
      </c>
      <c r="G21" s="56" t="s">
        <v>437</v>
      </c>
      <c r="H21" s="56" t="s">
        <v>339</v>
      </c>
    </row>
    <row r="22" spans="1:8" ht="90" customHeight="1" x14ac:dyDescent="0.3">
      <c r="A22" s="17" t="s">
        <v>211</v>
      </c>
      <c r="B22" s="55" t="s">
        <v>438</v>
      </c>
      <c r="C22" s="55" t="s">
        <v>439</v>
      </c>
      <c r="D22" s="55" t="s">
        <v>440</v>
      </c>
      <c r="E22" s="55" t="s">
        <v>441</v>
      </c>
      <c r="F22" s="55" t="s">
        <v>442</v>
      </c>
      <c r="G22" s="55" t="s">
        <v>345</v>
      </c>
      <c r="H22" s="55" t="s">
        <v>371</v>
      </c>
    </row>
    <row r="23" spans="1:8" ht="90" customHeight="1" x14ac:dyDescent="0.3">
      <c r="A23" s="13" t="s">
        <v>213</v>
      </c>
      <c r="B23" s="56" t="s">
        <v>443</v>
      </c>
      <c r="C23" s="56" t="s">
        <v>444</v>
      </c>
      <c r="D23" s="56" t="s">
        <v>445</v>
      </c>
      <c r="E23" s="56" t="s">
        <v>446</v>
      </c>
      <c r="F23" s="56" t="s">
        <v>447</v>
      </c>
      <c r="G23" s="56" t="s">
        <v>345</v>
      </c>
      <c r="H23" s="56" t="s">
        <v>371</v>
      </c>
    </row>
    <row r="24" spans="1:8" ht="90" customHeight="1" x14ac:dyDescent="0.3">
      <c r="A24" s="17" t="s">
        <v>215</v>
      </c>
      <c r="B24" s="55" t="s">
        <v>448</v>
      </c>
      <c r="C24" s="55" t="s">
        <v>449</v>
      </c>
      <c r="D24" s="55" t="s">
        <v>450</v>
      </c>
      <c r="E24" s="55" t="s">
        <v>451</v>
      </c>
      <c r="F24" s="55" t="s">
        <v>452</v>
      </c>
      <c r="G24" s="55" t="s">
        <v>345</v>
      </c>
      <c r="H24" s="55" t="s">
        <v>453</v>
      </c>
    </row>
    <row r="25" spans="1:8" ht="90" customHeight="1" x14ac:dyDescent="0.3">
      <c r="A25" s="13" t="s">
        <v>217</v>
      </c>
      <c r="B25" s="56" t="s">
        <v>454</v>
      </c>
      <c r="C25" s="56" t="s">
        <v>455</v>
      </c>
      <c r="D25" s="56" t="s">
        <v>456</v>
      </c>
      <c r="E25" s="56" t="s">
        <v>457</v>
      </c>
      <c r="F25" s="56" t="s">
        <v>458</v>
      </c>
      <c r="G25" s="56" t="s">
        <v>345</v>
      </c>
      <c r="H25" s="56" t="s">
        <v>371</v>
      </c>
    </row>
    <row r="26" spans="1:8" ht="90" customHeight="1" x14ac:dyDescent="0.3">
      <c r="A26" s="17" t="s">
        <v>219</v>
      </c>
      <c r="B26" s="55" t="s">
        <v>459</v>
      </c>
      <c r="C26" s="55" t="s">
        <v>460</v>
      </c>
      <c r="D26" s="55" t="s">
        <v>461</v>
      </c>
      <c r="E26" s="55" t="s">
        <v>462</v>
      </c>
      <c r="F26" s="55" t="s">
        <v>463</v>
      </c>
      <c r="G26" s="55" t="s">
        <v>464</v>
      </c>
      <c r="H26" s="55" t="s">
        <v>358</v>
      </c>
    </row>
    <row r="27" spans="1:8" ht="90" customHeight="1" x14ac:dyDescent="0.3">
      <c r="A27" s="13" t="s">
        <v>221</v>
      </c>
      <c r="B27" s="56" t="s">
        <v>465</v>
      </c>
      <c r="C27" s="56" t="s">
        <v>466</v>
      </c>
      <c r="D27" s="56" t="s">
        <v>467</v>
      </c>
      <c r="E27" s="56" t="s">
        <v>468</v>
      </c>
      <c r="F27" s="56" t="s">
        <v>469</v>
      </c>
      <c r="G27" s="56" t="s">
        <v>470</v>
      </c>
      <c r="H27" s="56" t="s">
        <v>471</v>
      </c>
    </row>
    <row r="28" spans="1:8" ht="90" customHeight="1" x14ac:dyDescent="0.3">
      <c r="A28" s="17" t="s">
        <v>110</v>
      </c>
      <c r="B28" s="55" t="s">
        <v>472</v>
      </c>
      <c r="C28" s="55" t="s">
        <v>473</v>
      </c>
      <c r="D28" s="55" t="s">
        <v>474</v>
      </c>
      <c r="E28" s="55" t="s">
        <v>475</v>
      </c>
      <c r="F28" s="55" t="s">
        <v>476</v>
      </c>
      <c r="G28" s="55" t="s">
        <v>477</v>
      </c>
      <c r="H28" s="55" t="s">
        <v>388</v>
      </c>
    </row>
    <row r="29" spans="1:8" ht="90" customHeight="1" x14ac:dyDescent="0.3">
      <c r="A29" s="13" t="s">
        <v>224</v>
      </c>
      <c r="B29" s="56" t="s">
        <v>478</v>
      </c>
      <c r="C29" s="56" t="s">
        <v>479</v>
      </c>
      <c r="D29" s="56" t="s">
        <v>480</v>
      </c>
      <c r="E29" s="56" t="s">
        <v>481</v>
      </c>
      <c r="F29" s="56" t="s">
        <v>482</v>
      </c>
      <c r="G29" s="56" t="s">
        <v>345</v>
      </c>
      <c r="H29" s="56" t="s">
        <v>364</v>
      </c>
    </row>
    <row r="30" spans="1:8" ht="90" customHeight="1" x14ac:dyDescent="0.3">
      <c r="A30" s="17" t="s">
        <v>226</v>
      </c>
      <c r="B30" s="55" t="s">
        <v>483</v>
      </c>
      <c r="C30" s="55" t="s">
        <v>484</v>
      </c>
      <c r="D30" s="55" t="s">
        <v>485</v>
      </c>
      <c r="E30" s="55" t="s">
        <v>486</v>
      </c>
      <c r="F30" s="55" t="s">
        <v>487</v>
      </c>
      <c r="G30" s="55" t="s">
        <v>345</v>
      </c>
      <c r="H30" s="55" t="s">
        <v>364</v>
      </c>
    </row>
    <row r="31" spans="1:8" ht="90" customHeight="1" x14ac:dyDescent="0.3">
      <c r="A31" s="13" t="s">
        <v>228</v>
      </c>
      <c r="B31" s="56" t="s">
        <v>488</v>
      </c>
      <c r="C31" s="56" t="s">
        <v>489</v>
      </c>
      <c r="D31" s="56" t="s">
        <v>490</v>
      </c>
      <c r="E31" s="56" t="s">
        <v>491</v>
      </c>
      <c r="F31" s="56" t="s">
        <v>492</v>
      </c>
      <c r="G31" s="56" t="s">
        <v>345</v>
      </c>
      <c r="H31" s="56" t="s">
        <v>364</v>
      </c>
    </row>
    <row r="32" spans="1:8" ht="90" customHeight="1" x14ac:dyDescent="0.3">
      <c r="A32" s="17" t="s">
        <v>230</v>
      </c>
      <c r="B32" s="55" t="s">
        <v>493</v>
      </c>
      <c r="C32" s="55" t="s">
        <v>494</v>
      </c>
      <c r="D32" s="55" t="s">
        <v>495</v>
      </c>
      <c r="E32" s="55" t="s">
        <v>496</v>
      </c>
      <c r="F32" s="55" t="s">
        <v>497</v>
      </c>
      <c r="G32" s="55" t="s">
        <v>345</v>
      </c>
      <c r="H32" s="55" t="s">
        <v>358</v>
      </c>
    </row>
    <row r="33" spans="1:8" ht="90" customHeight="1" x14ac:dyDescent="0.3">
      <c r="A33" s="13" t="s">
        <v>232</v>
      </c>
      <c r="B33" s="56" t="s">
        <v>498</v>
      </c>
      <c r="C33" s="56" t="s">
        <v>499</v>
      </c>
      <c r="D33" s="56" t="s">
        <v>500</v>
      </c>
      <c r="E33" s="56" t="s">
        <v>501</v>
      </c>
      <c r="F33" s="56" t="s">
        <v>502</v>
      </c>
      <c r="G33" s="56" t="s">
        <v>345</v>
      </c>
      <c r="H33" s="56" t="s">
        <v>388</v>
      </c>
    </row>
    <row r="34" spans="1:8" ht="90" customHeight="1" x14ac:dyDescent="0.3">
      <c r="A34" s="17" t="s">
        <v>234</v>
      </c>
      <c r="B34" s="55" t="s">
        <v>503</v>
      </c>
      <c r="C34" s="55" t="s">
        <v>504</v>
      </c>
      <c r="D34" s="55" t="s">
        <v>505</v>
      </c>
      <c r="E34" s="55" t="s">
        <v>506</v>
      </c>
      <c r="F34" s="55" t="s">
        <v>507</v>
      </c>
      <c r="G34" s="55" t="s">
        <v>508</v>
      </c>
      <c r="H34" s="55" t="s">
        <v>364</v>
      </c>
    </row>
    <row r="35" spans="1:8" ht="90" customHeight="1" x14ac:dyDescent="0.3">
      <c r="A35" s="13" t="s">
        <v>236</v>
      </c>
      <c r="B35" s="56" t="s">
        <v>509</v>
      </c>
      <c r="C35" s="56" t="s">
        <v>510</v>
      </c>
      <c r="D35" s="56" t="s">
        <v>511</v>
      </c>
      <c r="E35" s="56" t="s">
        <v>512</v>
      </c>
      <c r="F35" s="56" t="s">
        <v>513</v>
      </c>
      <c r="G35" s="56" t="s">
        <v>345</v>
      </c>
      <c r="H35" s="56" t="s">
        <v>364</v>
      </c>
    </row>
    <row r="36" spans="1:8" ht="90" customHeight="1" x14ac:dyDescent="0.3">
      <c r="A36" s="17" t="s">
        <v>238</v>
      </c>
      <c r="B36" s="55" t="s">
        <v>514</v>
      </c>
      <c r="C36" s="55" t="s">
        <v>515</v>
      </c>
      <c r="D36" s="55" t="s">
        <v>516</v>
      </c>
      <c r="E36" s="55" t="s">
        <v>517</v>
      </c>
      <c r="F36" s="55" t="s">
        <v>518</v>
      </c>
      <c r="G36" s="55" t="s">
        <v>519</v>
      </c>
      <c r="H36" s="55" t="s">
        <v>339</v>
      </c>
    </row>
    <row r="37" spans="1:8" ht="90" customHeight="1" x14ac:dyDescent="0.3">
      <c r="A37" s="13" t="s">
        <v>240</v>
      </c>
      <c r="B37" s="56" t="s">
        <v>520</v>
      </c>
      <c r="C37" s="56" t="s">
        <v>521</v>
      </c>
      <c r="D37" s="56" t="s">
        <v>522</v>
      </c>
      <c r="E37" s="56" t="s">
        <v>523</v>
      </c>
      <c r="F37" s="56" t="s">
        <v>524</v>
      </c>
      <c r="G37" s="56" t="s">
        <v>525</v>
      </c>
      <c r="H37" s="56" t="s">
        <v>339</v>
      </c>
    </row>
    <row r="38" spans="1:8" ht="90" customHeight="1" x14ac:dyDescent="0.3">
      <c r="A38" s="17" t="s">
        <v>242</v>
      </c>
      <c r="B38" s="55" t="s">
        <v>526</v>
      </c>
      <c r="C38" s="55" t="s">
        <v>527</v>
      </c>
      <c r="D38" s="55" t="s">
        <v>528</v>
      </c>
      <c r="E38" s="55" t="s">
        <v>529</v>
      </c>
      <c r="F38" s="55" t="s">
        <v>530</v>
      </c>
      <c r="G38" s="55" t="s">
        <v>345</v>
      </c>
      <c r="H38" s="55" t="s">
        <v>388</v>
      </c>
    </row>
    <row r="39" spans="1:8" ht="90" customHeight="1" x14ac:dyDescent="0.3">
      <c r="A39" s="13" t="s">
        <v>118</v>
      </c>
      <c r="B39" s="56" t="s">
        <v>531</v>
      </c>
      <c r="C39" s="56" t="s">
        <v>532</v>
      </c>
      <c r="D39" s="56" t="s">
        <v>533</v>
      </c>
      <c r="E39" s="56" t="s">
        <v>534</v>
      </c>
      <c r="F39" s="56" t="s">
        <v>535</v>
      </c>
      <c r="G39" s="56" t="s">
        <v>536</v>
      </c>
      <c r="H39" s="56" t="s">
        <v>377</v>
      </c>
    </row>
    <row r="40" spans="1:8" ht="90" customHeight="1" x14ac:dyDescent="0.3">
      <c r="A40" s="17" t="s">
        <v>245</v>
      </c>
      <c r="B40" s="55" t="s">
        <v>537</v>
      </c>
      <c r="C40" s="55" t="s">
        <v>538</v>
      </c>
      <c r="D40" s="55" t="s">
        <v>539</v>
      </c>
      <c r="E40" s="55" t="s">
        <v>540</v>
      </c>
      <c r="F40" s="55" t="s">
        <v>541</v>
      </c>
      <c r="G40" s="55" t="s">
        <v>345</v>
      </c>
      <c r="H40" s="55" t="s">
        <v>339</v>
      </c>
    </row>
    <row r="41" spans="1:8" ht="90" customHeight="1" x14ac:dyDescent="0.3">
      <c r="A41" s="13" t="s">
        <v>247</v>
      </c>
      <c r="B41" s="56" t="s">
        <v>542</v>
      </c>
      <c r="C41" s="56" t="s">
        <v>543</v>
      </c>
      <c r="D41" s="56" t="s">
        <v>544</v>
      </c>
      <c r="E41" s="56" t="s">
        <v>545</v>
      </c>
      <c r="F41" s="56" t="s">
        <v>546</v>
      </c>
      <c r="G41" s="56" t="s">
        <v>547</v>
      </c>
      <c r="H41" s="56" t="s">
        <v>339</v>
      </c>
    </row>
    <row r="42" spans="1:8" ht="90" customHeight="1" x14ac:dyDescent="0.3">
      <c r="A42" s="17" t="s">
        <v>249</v>
      </c>
      <c r="B42" s="55" t="s">
        <v>548</v>
      </c>
      <c r="C42" s="55" t="s">
        <v>549</v>
      </c>
      <c r="D42" s="55" t="s">
        <v>550</v>
      </c>
      <c r="E42" s="55" t="s">
        <v>551</v>
      </c>
      <c r="F42" s="55" t="s">
        <v>552</v>
      </c>
      <c r="G42" s="55" t="s">
        <v>553</v>
      </c>
      <c r="H42" s="55" t="s">
        <v>339</v>
      </c>
    </row>
    <row r="43" spans="1:8" ht="90" customHeight="1" x14ac:dyDescent="0.3">
      <c r="A43" s="13" t="s">
        <v>106</v>
      </c>
      <c r="B43" s="56" t="s">
        <v>554</v>
      </c>
      <c r="C43" s="56" t="s">
        <v>555</v>
      </c>
      <c r="D43" s="56" t="s">
        <v>556</v>
      </c>
      <c r="E43" s="56" t="s">
        <v>557</v>
      </c>
      <c r="F43" s="56" t="s">
        <v>558</v>
      </c>
      <c r="G43" s="56" t="s">
        <v>559</v>
      </c>
      <c r="H43" s="56" t="s">
        <v>388</v>
      </c>
    </row>
    <row r="44" spans="1:8" ht="90" customHeight="1" x14ac:dyDescent="0.3">
      <c r="A44" s="17" t="s">
        <v>252</v>
      </c>
      <c r="B44" s="55" t="s">
        <v>560</v>
      </c>
      <c r="C44" s="55" t="s">
        <v>561</v>
      </c>
      <c r="D44" s="55" t="s">
        <v>562</v>
      </c>
      <c r="E44" s="55" t="s">
        <v>563</v>
      </c>
      <c r="F44" s="55" t="s">
        <v>564</v>
      </c>
      <c r="G44" s="55" t="s">
        <v>345</v>
      </c>
      <c r="H44" s="55" t="s">
        <v>371</v>
      </c>
    </row>
    <row r="45" spans="1:8" ht="90" customHeight="1" x14ac:dyDescent="0.3">
      <c r="A45" s="13" t="s">
        <v>254</v>
      </c>
      <c r="B45" s="56" t="s">
        <v>565</v>
      </c>
      <c r="C45" s="56" t="s">
        <v>566</v>
      </c>
      <c r="D45" s="56" t="s">
        <v>567</v>
      </c>
      <c r="E45" s="56" t="s">
        <v>568</v>
      </c>
      <c r="F45" s="56" t="s">
        <v>569</v>
      </c>
      <c r="G45" s="56" t="s">
        <v>345</v>
      </c>
      <c r="H45" s="56" t="s">
        <v>364</v>
      </c>
    </row>
    <row r="46" spans="1:8" ht="90" customHeight="1" x14ac:dyDescent="0.3">
      <c r="A46" s="17" t="s">
        <v>77</v>
      </c>
      <c r="B46" s="55" t="s">
        <v>570</v>
      </c>
      <c r="C46" s="55" t="s">
        <v>571</v>
      </c>
      <c r="D46" s="55" t="s">
        <v>572</v>
      </c>
      <c r="E46" s="55" t="s">
        <v>573</v>
      </c>
      <c r="F46" s="55" t="s">
        <v>574</v>
      </c>
      <c r="G46" s="55" t="s">
        <v>575</v>
      </c>
      <c r="H46" s="55" t="s">
        <v>358</v>
      </c>
    </row>
    <row r="47" spans="1:8" ht="90" customHeight="1" x14ac:dyDescent="0.3">
      <c r="A47" s="13" t="s">
        <v>257</v>
      </c>
      <c r="B47" s="56" t="s">
        <v>576</v>
      </c>
      <c r="C47" s="56" t="s">
        <v>577</v>
      </c>
      <c r="D47" s="56" t="s">
        <v>578</v>
      </c>
      <c r="E47" s="56" t="s">
        <v>579</v>
      </c>
      <c r="F47" s="56" t="s">
        <v>580</v>
      </c>
      <c r="G47" s="56" t="s">
        <v>581</v>
      </c>
      <c r="H47" s="56" t="s">
        <v>388</v>
      </c>
    </row>
    <row r="48" spans="1:8" ht="90" customHeight="1" x14ac:dyDescent="0.3">
      <c r="A48" s="17" t="s">
        <v>259</v>
      </c>
      <c r="B48" s="55" t="s">
        <v>582</v>
      </c>
      <c r="C48" s="55" t="s">
        <v>583</v>
      </c>
      <c r="D48" s="55" t="s">
        <v>584</v>
      </c>
      <c r="E48" s="55" t="s">
        <v>585</v>
      </c>
      <c r="F48" s="55" t="s">
        <v>586</v>
      </c>
      <c r="G48" s="55" t="s">
        <v>345</v>
      </c>
      <c r="H48" s="55" t="s">
        <v>371</v>
      </c>
    </row>
    <row r="49" spans="1:8" ht="90" customHeight="1" x14ac:dyDescent="0.3">
      <c r="A49" s="13" t="s">
        <v>261</v>
      </c>
      <c r="B49" s="56" t="s">
        <v>587</v>
      </c>
      <c r="C49" s="56" t="s">
        <v>588</v>
      </c>
      <c r="D49" s="56" t="s">
        <v>589</v>
      </c>
      <c r="E49" s="56" t="s">
        <v>590</v>
      </c>
      <c r="F49" s="56" t="s">
        <v>591</v>
      </c>
      <c r="G49" s="56" t="s">
        <v>345</v>
      </c>
      <c r="H49" s="56" t="s">
        <v>371</v>
      </c>
    </row>
    <row r="50" spans="1:8" ht="90" customHeight="1" x14ac:dyDescent="0.3">
      <c r="A50" s="17" t="s">
        <v>263</v>
      </c>
      <c r="B50" s="55" t="s">
        <v>592</v>
      </c>
      <c r="C50" s="55" t="s">
        <v>593</v>
      </c>
      <c r="D50" s="55" t="s">
        <v>594</v>
      </c>
      <c r="E50" s="55" t="s">
        <v>595</v>
      </c>
      <c r="F50" s="55" t="s">
        <v>596</v>
      </c>
      <c r="G50" s="55" t="s">
        <v>345</v>
      </c>
      <c r="H50" s="55" t="s">
        <v>364</v>
      </c>
    </row>
    <row r="51" spans="1:8" ht="90" customHeight="1" x14ac:dyDescent="0.3">
      <c r="A51" s="13" t="s">
        <v>265</v>
      </c>
      <c r="B51" s="56" t="s">
        <v>597</v>
      </c>
      <c r="C51" s="56" t="s">
        <v>598</v>
      </c>
      <c r="D51" s="56" t="s">
        <v>599</v>
      </c>
      <c r="E51" s="56" t="s">
        <v>600</v>
      </c>
      <c r="F51" s="56" t="s">
        <v>601</v>
      </c>
      <c r="G51" s="56" t="s">
        <v>345</v>
      </c>
      <c r="H51" s="56" t="s">
        <v>371</v>
      </c>
    </row>
    <row r="52" spans="1:8" ht="90" customHeight="1" x14ac:dyDescent="0.3">
      <c r="A52" s="17" t="s">
        <v>133</v>
      </c>
      <c r="B52" s="55" t="s">
        <v>602</v>
      </c>
      <c r="C52" s="55" t="s">
        <v>603</v>
      </c>
      <c r="D52" s="55" t="s">
        <v>604</v>
      </c>
      <c r="E52" s="55" t="s">
        <v>605</v>
      </c>
      <c r="F52" s="55" t="s">
        <v>606</v>
      </c>
      <c r="G52" s="55" t="s">
        <v>607</v>
      </c>
      <c r="H52" s="55" t="s">
        <v>453</v>
      </c>
    </row>
    <row r="53" spans="1:8" ht="90" customHeight="1" x14ac:dyDescent="0.3">
      <c r="A53" s="13" t="s">
        <v>268</v>
      </c>
      <c r="B53" s="56" t="s">
        <v>608</v>
      </c>
      <c r="C53" s="56" t="s">
        <v>609</v>
      </c>
      <c r="D53" s="56" t="s">
        <v>610</v>
      </c>
      <c r="E53" s="56" t="s">
        <v>611</v>
      </c>
      <c r="F53" s="56" t="s">
        <v>612</v>
      </c>
      <c r="G53" s="56" t="s">
        <v>345</v>
      </c>
      <c r="H53" s="56" t="s">
        <v>364</v>
      </c>
    </row>
    <row r="54" spans="1:8" ht="90" customHeight="1" x14ac:dyDescent="0.3">
      <c r="A54" s="17" t="s">
        <v>270</v>
      </c>
      <c r="B54" s="55" t="s">
        <v>613</v>
      </c>
      <c r="C54" s="55" t="s">
        <v>614</v>
      </c>
      <c r="D54" s="55" t="s">
        <v>615</v>
      </c>
      <c r="E54" s="55" t="s">
        <v>616</v>
      </c>
      <c r="F54" s="55" t="s">
        <v>617</v>
      </c>
      <c r="G54" s="55" t="s">
        <v>345</v>
      </c>
      <c r="H54" s="55" t="s">
        <v>388</v>
      </c>
    </row>
    <row r="55" spans="1:8" ht="90" customHeight="1" x14ac:dyDescent="0.3">
      <c r="A55" s="13" t="s">
        <v>272</v>
      </c>
      <c r="B55" s="56" t="s">
        <v>618</v>
      </c>
      <c r="C55" s="56" t="s">
        <v>619</v>
      </c>
      <c r="D55" s="56" t="s">
        <v>620</v>
      </c>
      <c r="E55" s="56" t="s">
        <v>621</v>
      </c>
      <c r="F55" s="56" t="s">
        <v>622</v>
      </c>
      <c r="G55" s="56" t="s">
        <v>623</v>
      </c>
      <c r="H55" s="56" t="s">
        <v>339</v>
      </c>
    </row>
    <row r="56" spans="1:8" ht="90" customHeight="1" x14ac:dyDescent="0.3">
      <c r="A56" s="17" t="s">
        <v>91</v>
      </c>
      <c r="B56" s="55" t="s">
        <v>624</v>
      </c>
      <c r="C56" s="55" t="s">
        <v>625</v>
      </c>
      <c r="D56" s="55" t="s">
        <v>626</v>
      </c>
      <c r="E56" s="55" t="s">
        <v>627</v>
      </c>
      <c r="F56" s="55" t="s">
        <v>628</v>
      </c>
      <c r="G56" s="55" t="s">
        <v>629</v>
      </c>
      <c r="H56" s="55" t="s">
        <v>339</v>
      </c>
    </row>
    <row r="57" spans="1:8" ht="90" customHeight="1" x14ac:dyDescent="0.3">
      <c r="A57" s="13" t="s">
        <v>276</v>
      </c>
      <c r="B57" s="56" t="s">
        <v>630</v>
      </c>
      <c r="C57" s="56" t="s">
        <v>631</v>
      </c>
      <c r="D57" s="56" t="s">
        <v>632</v>
      </c>
      <c r="E57" s="56" t="s">
        <v>633</v>
      </c>
      <c r="F57" s="56" t="s">
        <v>634</v>
      </c>
      <c r="G57" s="56" t="s">
        <v>345</v>
      </c>
      <c r="H57" s="56" t="s">
        <v>388</v>
      </c>
    </row>
    <row r="58" spans="1:8" ht="90" customHeight="1" x14ac:dyDescent="0.3">
      <c r="A58" s="17" t="s">
        <v>278</v>
      </c>
      <c r="B58" s="55" t="s">
        <v>635</v>
      </c>
      <c r="C58" s="55" t="s">
        <v>636</v>
      </c>
      <c r="D58" s="55" t="s">
        <v>637</v>
      </c>
      <c r="E58" s="55" t="s">
        <v>638</v>
      </c>
      <c r="F58" s="55" t="s">
        <v>639</v>
      </c>
      <c r="G58" s="55" t="s">
        <v>345</v>
      </c>
      <c r="H58" s="55" t="s">
        <v>371</v>
      </c>
    </row>
    <row r="59" spans="1:8" ht="90" customHeight="1" x14ac:dyDescent="0.3">
      <c r="A59" s="13" t="s">
        <v>280</v>
      </c>
      <c r="B59" s="56" t="s">
        <v>640</v>
      </c>
      <c r="C59" s="56" t="s">
        <v>641</v>
      </c>
      <c r="D59" s="56" t="s">
        <v>642</v>
      </c>
      <c r="E59" s="56" t="s">
        <v>643</v>
      </c>
      <c r="F59" s="56" t="s">
        <v>644</v>
      </c>
      <c r="G59" s="56" t="s">
        <v>345</v>
      </c>
      <c r="H59" s="56" t="s">
        <v>371</v>
      </c>
    </row>
    <row r="60" spans="1:8" ht="90" customHeight="1" x14ac:dyDescent="0.3">
      <c r="A60" s="17" t="s">
        <v>282</v>
      </c>
      <c r="B60" s="55" t="s">
        <v>645</v>
      </c>
      <c r="C60" s="55" t="s">
        <v>646</v>
      </c>
      <c r="D60" s="55" t="s">
        <v>647</v>
      </c>
      <c r="E60" s="55" t="s">
        <v>648</v>
      </c>
      <c r="F60" s="55" t="s">
        <v>649</v>
      </c>
      <c r="G60" s="55"/>
      <c r="H60" s="55" t="s">
        <v>388</v>
      </c>
    </row>
    <row r="61" spans="1:8" ht="90" customHeight="1" x14ac:dyDescent="0.3">
      <c r="A61" s="13" t="s">
        <v>284</v>
      </c>
      <c r="B61" s="56" t="s">
        <v>650</v>
      </c>
      <c r="C61" s="56" t="s">
        <v>651</v>
      </c>
      <c r="D61" s="56" t="s">
        <v>652</v>
      </c>
      <c r="E61" s="56" t="s">
        <v>653</v>
      </c>
      <c r="F61" s="56" t="s">
        <v>654</v>
      </c>
      <c r="G61" s="56" t="s">
        <v>655</v>
      </c>
      <c r="H61" s="56" t="s">
        <v>388</v>
      </c>
    </row>
    <row r="62" spans="1:8" ht="90" customHeight="1" x14ac:dyDescent="0.3">
      <c r="A62" s="17" t="s">
        <v>82</v>
      </c>
      <c r="B62" s="55" t="s">
        <v>656</v>
      </c>
      <c r="C62" s="55" t="s">
        <v>657</v>
      </c>
      <c r="D62" s="55" t="s">
        <v>658</v>
      </c>
      <c r="E62" s="55" t="s">
        <v>659</v>
      </c>
      <c r="F62" s="55" t="s">
        <v>660</v>
      </c>
      <c r="G62" s="55" t="s">
        <v>345</v>
      </c>
      <c r="H62" s="55" t="s">
        <v>364</v>
      </c>
    </row>
    <row r="63" spans="1:8" ht="90" customHeight="1" x14ac:dyDescent="0.3">
      <c r="A63" s="13" t="s">
        <v>287</v>
      </c>
      <c r="B63" s="56" t="s">
        <v>661</v>
      </c>
      <c r="C63" s="56" t="s">
        <v>662</v>
      </c>
      <c r="D63" s="56" t="s">
        <v>663</v>
      </c>
      <c r="E63" s="56" t="s">
        <v>664</v>
      </c>
      <c r="F63" s="56" t="s">
        <v>665</v>
      </c>
      <c r="G63" s="56" t="s">
        <v>345</v>
      </c>
      <c r="H63" s="56" t="s">
        <v>371</v>
      </c>
    </row>
    <row r="64" spans="1:8" ht="90" customHeight="1" x14ac:dyDescent="0.3">
      <c r="A64" s="17" t="s">
        <v>289</v>
      </c>
      <c r="B64" s="55" t="s">
        <v>666</v>
      </c>
      <c r="C64" s="55" t="s">
        <v>667</v>
      </c>
      <c r="D64" s="55" t="s">
        <v>668</v>
      </c>
      <c r="E64" s="55" t="s">
        <v>669</v>
      </c>
      <c r="F64" s="55" t="s">
        <v>670</v>
      </c>
      <c r="G64" s="55" t="s">
        <v>345</v>
      </c>
      <c r="H64" s="55" t="s">
        <v>364</v>
      </c>
    </row>
    <row r="65" spans="1:8" ht="90" customHeight="1" x14ac:dyDescent="0.3">
      <c r="A65" s="13" t="s">
        <v>291</v>
      </c>
      <c r="B65" s="56" t="s">
        <v>671</v>
      </c>
      <c r="C65" s="56" t="s">
        <v>672</v>
      </c>
      <c r="D65" s="56" t="s">
        <v>673</v>
      </c>
      <c r="E65" s="56" t="s">
        <v>674</v>
      </c>
      <c r="F65" s="56" t="s">
        <v>675</v>
      </c>
      <c r="G65" s="56" t="s">
        <v>676</v>
      </c>
      <c r="H65" s="56" t="s">
        <v>371</v>
      </c>
    </row>
    <row r="66" spans="1:8" ht="90" customHeight="1" x14ac:dyDescent="0.3">
      <c r="A66" s="17" t="s">
        <v>293</v>
      </c>
      <c r="B66" s="55" t="s">
        <v>677</v>
      </c>
      <c r="C66" s="55" t="s">
        <v>678</v>
      </c>
      <c r="D66" s="55" t="s">
        <v>679</v>
      </c>
      <c r="E66" s="55" t="s">
        <v>680</v>
      </c>
      <c r="F66" s="55" t="s">
        <v>681</v>
      </c>
      <c r="G66" s="55" t="s">
        <v>345</v>
      </c>
      <c r="H66" s="55" t="s">
        <v>377</v>
      </c>
    </row>
    <row r="67" spans="1:8" ht="90" customHeight="1" x14ac:dyDescent="0.3">
      <c r="A67" s="13" t="s">
        <v>295</v>
      </c>
      <c r="B67" s="56" t="s">
        <v>682</v>
      </c>
      <c r="C67" s="56" t="s">
        <v>683</v>
      </c>
      <c r="D67" s="56" t="s">
        <v>684</v>
      </c>
      <c r="E67" s="56" t="s">
        <v>685</v>
      </c>
      <c r="F67" s="56" t="s">
        <v>686</v>
      </c>
      <c r="G67" s="56" t="s">
        <v>345</v>
      </c>
      <c r="H67" s="56" t="s">
        <v>388</v>
      </c>
    </row>
    <row r="68" spans="1:8" ht="90" customHeight="1" x14ac:dyDescent="0.3">
      <c r="A68" s="17" t="s">
        <v>297</v>
      </c>
      <c r="B68" s="55" t="s">
        <v>687</v>
      </c>
      <c r="C68" s="55" t="s">
        <v>688</v>
      </c>
      <c r="D68" s="55" t="s">
        <v>689</v>
      </c>
      <c r="E68" s="55" t="s">
        <v>690</v>
      </c>
      <c r="F68" s="55" t="s">
        <v>691</v>
      </c>
      <c r="G68" s="55" t="s">
        <v>692</v>
      </c>
      <c r="H68" s="55" t="s">
        <v>364</v>
      </c>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27AE60"/>
  </sheetPr>
  <dimension ref="A1:G68"/>
  <sheetViews>
    <sheetView showGridLines="0" zoomScaleNormal="100" workbookViewId="0">
      <pane xSplit="1" ySplit="3" topLeftCell="B49" activePane="bottomRight" state="frozen"/>
      <selection pane="topRight" activeCell="B1" sqref="B1"/>
      <selection pane="bottomLeft" activeCell="A4" sqref="A4"/>
      <selection pane="bottomRight" activeCell="I3" sqref="I3"/>
    </sheetView>
  </sheetViews>
  <sheetFormatPr defaultColWidth="8.6640625" defaultRowHeight="14.4" x14ac:dyDescent="0.3"/>
  <cols>
    <col min="1" max="1" width="24" customWidth="1"/>
    <col min="2" max="7" width="14" customWidth="1"/>
  </cols>
  <sheetData>
    <row r="1" spans="1:7" ht="31.5" customHeight="1" x14ac:dyDescent="0.3">
      <c r="A1" s="130" t="s">
        <v>693</v>
      </c>
      <c r="B1" s="118"/>
      <c r="C1" s="118"/>
      <c r="D1" s="118"/>
      <c r="E1" s="118"/>
      <c r="F1" s="118"/>
      <c r="G1" s="118"/>
    </row>
    <row r="2" spans="1:7" ht="19.5" customHeight="1" x14ac:dyDescent="0.3">
      <c r="A2" s="129" t="s">
        <v>694</v>
      </c>
      <c r="B2" s="118"/>
      <c r="C2" s="118"/>
      <c r="D2" s="118"/>
      <c r="E2" s="118"/>
      <c r="F2" s="118"/>
      <c r="G2" s="118"/>
    </row>
    <row r="3" spans="1:7" ht="36" customHeight="1" x14ac:dyDescent="0.3">
      <c r="A3" s="30" t="s">
        <v>166</v>
      </c>
      <c r="B3" s="30" t="s">
        <v>168</v>
      </c>
      <c r="C3" s="30" t="s">
        <v>169</v>
      </c>
      <c r="D3" s="30" t="s">
        <v>170</v>
      </c>
      <c r="E3" s="30" t="s">
        <v>695</v>
      </c>
      <c r="F3" s="30" t="s">
        <v>696</v>
      </c>
      <c r="G3" s="30" t="s">
        <v>697</v>
      </c>
    </row>
    <row r="4" spans="1:7" ht="19.5" customHeight="1" x14ac:dyDescent="0.3">
      <c r="A4" s="17" t="s">
        <v>179</v>
      </c>
      <c r="B4" s="64">
        <v>96</v>
      </c>
      <c r="C4" s="64">
        <v>19</v>
      </c>
      <c r="D4" s="64">
        <v>53</v>
      </c>
      <c r="E4" s="64">
        <v>18</v>
      </c>
      <c r="F4" s="64">
        <v>8</v>
      </c>
      <c r="G4" s="64">
        <v>96</v>
      </c>
    </row>
    <row r="5" spans="1:7" ht="19.5" customHeight="1" x14ac:dyDescent="0.3">
      <c r="A5" s="13" t="s">
        <v>130</v>
      </c>
      <c r="B5" s="65">
        <v>1819</v>
      </c>
      <c r="C5" s="65">
        <v>531</v>
      </c>
      <c r="D5" s="65">
        <v>9</v>
      </c>
      <c r="E5" s="65">
        <v>0</v>
      </c>
      <c r="F5" s="65">
        <v>2</v>
      </c>
      <c r="G5" s="65">
        <v>1819</v>
      </c>
    </row>
    <row r="6" spans="1:7" ht="19.5" customHeight="1" x14ac:dyDescent="0.3">
      <c r="A6" s="17" t="s">
        <v>111</v>
      </c>
      <c r="B6" s="64">
        <v>723</v>
      </c>
      <c r="C6" s="64">
        <v>98</v>
      </c>
      <c r="D6" s="38">
        <v>16</v>
      </c>
      <c r="E6" s="64">
        <v>0</v>
      </c>
      <c r="F6" s="64">
        <v>0</v>
      </c>
      <c r="G6" s="64">
        <v>723</v>
      </c>
    </row>
    <row r="7" spans="1:7" ht="19.5" customHeight="1" x14ac:dyDescent="0.3">
      <c r="A7" s="13" t="s">
        <v>183</v>
      </c>
      <c r="B7" s="44">
        <v>11</v>
      </c>
      <c r="C7" s="65">
        <v>0</v>
      </c>
      <c r="D7" s="44">
        <v>0</v>
      </c>
      <c r="E7" s="44">
        <v>0</v>
      </c>
      <c r="F7" s="65">
        <v>1</v>
      </c>
      <c r="G7" s="65">
        <v>11</v>
      </c>
    </row>
    <row r="8" spans="1:7" ht="19.5" customHeight="1" x14ac:dyDescent="0.3">
      <c r="A8" s="17" t="s">
        <v>185</v>
      </c>
      <c r="B8" s="64">
        <v>945</v>
      </c>
      <c r="C8" s="64">
        <v>388</v>
      </c>
      <c r="D8" s="64">
        <v>3</v>
      </c>
      <c r="E8" s="64">
        <v>3</v>
      </c>
      <c r="F8" s="64">
        <v>11</v>
      </c>
      <c r="G8" s="64">
        <v>945</v>
      </c>
    </row>
    <row r="9" spans="1:7" ht="19.5" customHeight="1" x14ac:dyDescent="0.3">
      <c r="A9" s="13" t="s">
        <v>187</v>
      </c>
      <c r="B9" s="65">
        <v>797</v>
      </c>
      <c r="C9" s="65">
        <v>96</v>
      </c>
      <c r="D9" s="65">
        <v>0</v>
      </c>
      <c r="E9" s="65">
        <v>0</v>
      </c>
      <c r="F9" s="65">
        <v>1</v>
      </c>
      <c r="G9" s="65">
        <v>797</v>
      </c>
    </row>
    <row r="10" spans="1:7" ht="19.5" customHeight="1" x14ac:dyDescent="0.3">
      <c r="A10" s="17" t="s">
        <v>189</v>
      </c>
      <c r="B10" s="64">
        <v>1472</v>
      </c>
      <c r="C10" s="64">
        <v>314</v>
      </c>
      <c r="D10" s="64">
        <v>7</v>
      </c>
      <c r="E10" s="38">
        <v>0</v>
      </c>
      <c r="F10" s="64">
        <v>2</v>
      </c>
      <c r="G10" s="64">
        <v>1472</v>
      </c>
    </row>
    <row r="11" spans="1:7" ht="19.5" customHeight="1" x14ac:dyDescent="0.3">
      <c r="A11" s="13" t="s">
        <v>126</v>
      </c>
      <c r="B11" s="65">
        <v>1281</v>
      </c>
      <c r="C11" s="65">
        <v>279</v>
      </c>
      <c r="D11" s="65">
        <v>12</v>
      </c>
      <c r="E11" s="65">
        <v>5</v>
      </c>
      <c r="F11" s="65">
        <v>47</v>
      </c>
      <c r="G11" s="65">
        <v>1281</v>
      </c>
    </row>
    <row r="12" spans="1:7" ht="19.5" customHeight="1" x14ac:dyDescent="0.3">
      <c r="A12" s="17" t="s">
        <v>192</v>
      </c>
      <c r="B12" s="64">
        <v>1576</v>
      </c>
      <c r="C12" s="64">
        <v>302</v>
      </c>
      <c r="D12" s="64">
        <v>2</v>
      </c>
      <c r="E12" s="64">
        <v>0</v>
      </c>
      <c r="F12" s="64">
        <v>165</v>
      </c>
      <c r="G12" s="64">
        <v>1576</v>
      </c>
    </row>
    <row r="13" spans="1:7" ht="19.5" customHeight="1" x14ac:dyDescent="0.3">
      <c r="A13" s="13" t="s">
        <v>194</v>
      </c>
      <c r="B13" s="65">
        <v>5681</v>
      </c>
      <c r="C13" s="65">
        <v>1224</v>
      </c>
      <c r="D13" s="65">
        <v>2193</v>
      </c>
      <c r="E13" s="65">
        <v>416</v>
      </c>
      <c r="F13" s="65">
        <v>1235</v>
      </c>
      <c r="G13" s="65">
        <v>5681</v>
      </c>
    </row>
    <row r="14" spans="1:7" ht="19.5" customHeight="1" x14ac:dyDescent="0.3">
      <c r="A14" s="17" t="s">
        <v>196</v>
      </c>
      <c r="B14" s="64">
        <v>127</v>
      </c>
      <c r="C14" s="64">
        <v>39</v>
      </c>
      <c r="D14" s="64">
        <v>2</v>
      </c>
      <c r="E14" s="64">
        <v>0</v>
      </c>
      <c r="F14" s="64">
        <v>9</v>
      </c>
      <c r="G14" s="64">
        <v>127</v>
      </c>
    </row>
    <row r="15" spans="1:7" ht="19.5" customHeight="1" x14ac:dyDescent="0.3">
      <c r="A15" s="13" t="s">
        <v>198</v>
      </c>
      <c r="B15" s="65">
        <v>323</v>
      </c>
      <c r="C15" s="65">
        <v>172</v>
      </c>
      <c r="D15" s="44">
        <v>14</v>
      </c>
      <c r="E15" s="65">
        <v>0</v>
      </c>
      <c r="F15" s="65">
        <v>38</v>
      </c>
      <c r="G15" s="65">
        <v>323</v>
      </c>
    </row>
    <row r="16" spans="1:7" ht="19.5" customHeight="1" x14ac:dyDescent="0.3">
      <c r="A16" s="17" t="s">
        <v>200</v>
      </c>
      <c r="B16" s="64">
        <v>298</v>
      </c>
      <c r="C16" s="64">
        <v>51</v>
      </c>
      <c r="D16" s="38">
        <v>0</v>
      </c>
      <c r="E16" s="38">
        <v>0</v>
      </c>
      <c r="F16" s="64">
        <v>0</v>
      </c>
      <c r="G16" s="64">
        <v>298</v>
      </c>
    </row>
    <row r="17" spans="1:7" ht="19.5" customHeight="1" x14ac:dyDescent="0.3">
      <c r="A17" s="13" t="s">
        <v>202</v>
      </c>
      <c r="B17" s="65">
        <v>7</v>
      </c>
      <c r="C17" s="65">
        <v>2</v>
      </c>
      <c r="D17" s="65">
        <v>4</v>
      </c>
      <c r="E17" s="65">
        <v>4</v>
      </c>
      <c r="F17" s="65">
        <v>1</v>
      </c>
      <c r="G17" s="65">
        <v>7</v>
      </c>
    </row>
    <row r="18" spans="1:7" ht="19.5" customHeight="1" x14ac:dyDescent="0.3">
      <c r="A18" s="17" t="s">
        <v>204</v>
      </c>
      <c r="B18" s="64">
        <v>242</v>
      </c>
      <c r="C18" s="64">
        <v>40</v>
      </c>
      <c r="D18" s="64">
        <v>27</v>
      </c>
      <c r="E18" s="64">
        <v>5</v>
      </c>
      <c r="F18" s="64">
        <v>18</v>
      </c>
      <c r="G18" s="64">
        <v>242</v>
      </c>
    </row>
    <row r="19" spans="1:7" ht="19.5" customHeight="1" x14ac:dyDescent="0.3">
      <c r="A19" s="13" t="s">
        <v>69</v>
      </c>
      <c r="B19" s="65">
        <v>262</v>
      </c>
      <c r="C19" s="65">
        <v>28</v>
      </c>
      <c r="D19" s="65">
        <v>42</v>
      </c>
      <c r="E19" s="65">
        <v>0</v>
      </c>
      <c r="F19" s="65">
        <v>29</v>
      </c>
      <c r="G19" s="65">
        <v>262</v>
      </c>
    </row>
    <row r="20" spans="1:7" ht="19.5" customHeight="1" x14ac:dyDescent="0.3">
      <c r="A20" s="17" t="s">
        <v>207</v>
      </c>
      <c r="B20" s="64">
        <v>15</v>
      </c>
      <c r="C20" s="64">
        <v>2</v>
      </c>
      <c r="D20" s="64">
        <v>1</v>
      </c>
      <c r="E20" s="64">
        <v>0</v>
      </c>
      <c r="F20" s="64">
        <v>1</v>
      </c>
      <c r="G20" s="64">
        <v>15</v>
      </c>
    </row>
    <row r="21" spans="1:7" ht="19.5" customHeight="1" x14ac:dyDescent="0.3">
      <c r="A21" s="13" t="s">
        <v>209</v>
      </c>
      <c r="B21" s="65">
        <v>3033</v>
      </c>
      <c r="C21" s="65">
        <v>546</v>
      </c>
      <c r="D21" s="65">
        <v>7078</v>
      </c>
      <c r="E21" s="65">
        <v>1372</v>
      </c>
      <c r="F21" s="65">
        <v>534</v>
      </c>
      <c r="G21" s="65">
        <v>3033</v>
      </c>
    </row>
    <row r="22" spans="1:7" ht="19.5" customHeight="1" x14ac:dyDescent="0.3">
      <c r="A22" s="17" t="s">
        <v>211</v>
      </c>
      <c r="B22" s="64">
        <v>249</v>
      </c>
      <c r="C22" s="64">
        <v>45</v>
      </c>
      <c r="D22" s="38">
        <v>0</v>
      </c>
      <c r="E22" s="38">
        <v>0</v>
      </c>
      <c r="F22" s="64">
        <v>0</v>
      </c>
      <c r="G22" s="64">
        <v>249</v>
      </c>
    </row>
    <row r="23" spans="1:7" ht="19.5" customHeight="1" x14ac:dyDescent="0.3">
      <c r="A23" s="13" t="s">
        <v>213</v>
      </c>
      <c r="B23" s="65">
        <v>6619</v>
      </c>
      <c r="C23" s="65">
        <v>1429</v>
      </c>
      <c r="D23" s="65">
        <v>11</v>
      </c>
      <c r="E23" s="65">
        <v>0</v>
      </c>
      <c r="F23" s="65">
        <v>22</v>
      </c>
      <c r="G23" s="65">
        <v>6619</v>
      </c>
    </row>
    <row r="24" spans="1:7" ht="19.5" customHeight="1" x14ac:dyDescent="0.3">
      <c r="A24" s="17" t="s">
        <v>215</v>
      </c>
      <c r="B24" s="64">
        <v>551</v>
      </c>
      <c r="C24" s="64">
        <v>113</v>
      </c>
      <c r="D24" s="64">
        <v>0</v>
      </c>
      <c r="E24" s="38">
        <v>0</v>
      </c>
      <c r="F24" s="64">
        <v>11</v>
      </c>
      <c r="G24" s="64">
        <v>551</v>
      </c>
    </row>
    <row r="25" spans="1:7" ht="19.5" customHeight="1" x14ac:dyDescent="0.3">
      <c r="A25" s="13" t="s">
        <v>217</v>
      </c>
      <c r="B25" s="65">
        <v>2922</v>
      </c>
      <c r="C25" s="65">
        <v>735</v>
      </c>
      <c r="D25" s="65">
        <v>1</v>
      </c>
      <c r="E25" s="65">
        <v>0</v>
      </c>
      <c r="F25" s="65">
        <v>13</v>
      </c>
      <c r="G25" s="65">
        <v>2922</v>
      </c>
    </row>
    <row r="26" spans="1:7" ht="19.5" customHeight="1" x14ac:dyDescent="0.3">
      <c r="A26" s="17" t="s">
        <v>219</v>
      </c>
      <c r="B26" s="64">
        <v>1860</v>
      </c>
      <c r="C26" s="64">
        <v>300</v>
      </c>
      <c r="D26" s="64">
        <v>3216</v>
      </c>
      <c r="E26" s="64">
        <v>440</v>
      </c>
      <c r="F26" s="64">
        <v>497</v>
      </c>
      <c r="G26" s="64">
        <v>1860</v>
      </c>
    </row>
    <row r="27" spans="1:7" ht="19.5" customHeight="1" x14ac:dyDescent="0.3">
      <c r="A27" s="13" t="s">
        <v>221</v>
      </c>
      <c r="B27" s="65">
        <v>26211</v>
      </c>
      <c r="C27" s="65">
        <v>5091</v>
      </c>
      <c r="D27" s="65">
        <v>914</v>
      </c>
      <c r="E27" s="65">
        <v>124</v>
      </c>
      <c r="F27" s="65">
        <v>664</v>
      </c>
      <c r="G27" s="65">
        <v>26211</v>
      </c>
    </row>
    <row r="28" spans="1:7" ht="19.5" customHeight="1" x14ac:dyDescent="0.3">
      <c r="A28" s="17" t="s">
        <v>110</v>
      </c>
      <c r="B28" s="64">
        <v>4974</v>
      </c>
      <c r="C28" s="64">
        <v>962</v>
      </c>
      <c r="D28" s="64">
        <v>291</v>
      </c>
      <c r="E28" s="64">
        <v>78</v>
      </c>
      <c r="F28" s="64">
        <v>203</v>
      </c>
      <c r="G28" s="64">
        <v>4974</v>
      </c>
    </row>
    <row r="29" spans="1:7" ht="19.5" customHeight="1" x14ac:dyDescent="0.3">
      <c r="A29" s="13" t="s">
        <v>224</v>
      </c>
      <c r="B29" s="65">
        <v>9964</v>
      </c>
      <c r="C29" s="65">
        <v>5669</v>
      </c>
      <c r="D29" s="65">
        <v>30528</v>
      </c>
      <c r="E29" s="65">
        <v>1328</v>
      </c>
      <c r="F29" s="65">
        <v>103</v>
      </c>
      <c r="G29" s="65">
        <v>9964</v>
      </c>
    </row>
    <row r="30" spans="1:7" ht="19.5" customHeight="1" x14ac:dyDescent="0.3">
      <c r="A30" s="17" t="s">
        <v>226</v>
      </c>
      <c r="B30" s="64">
        <v>4530</v>
      </c>
      <c r="C30" s="64">
        <v>1251</v>
      </c>
      <c r="D30" s="64">
        <v>562</v>
      </c>
      <c r="E30" s="64">
        <v>209</v>
      </c>
      <c r="F30" s="64">
        <v>226</v>
      </c>
      <c r="G30" s="64">
        <v>4530</v>
      </c>
    </row>
    <row r="31" spans="1:7" ht="19.5" customHeight="1" x14ac:dyDescent="0.3">
      <c r="A31" s="13" t="s">
        <v>228</v>
      </c>
      <c r="B31" s="65">
        <v>3396</v>
      </c>
      <c r="C31" s="65">
        <v>1494</v>
      </c>
      <c r="D31" s="65">
        <v>65</v>
      </c>
      <c r="E31" s="65">
        <v>23</v>
      </c>
      <c r="F31" s="65">
        <v>15</v>
      </c>
      <c r="G31" s="65">
        <v>3396</v>
      </c>
    </row>
    <row r="32" spans="1:7" ht="19.5" customHeight="1" x14ac:dyDescent="0.3">
      <c r="A32" s="17" t="s">
        <v>230</v>
      </c>
      <c r="B32" s="64">
        <v>417</v>
      </c>
      <c r="C32" s="64">
        <v>84</v>
      </c>
      <c r="D32" s="64">
        <v>302</v>
      </c>
      <c r="E32" s="64">
        <v>65</v>
      </c>
      <c r="F32" s="64">
        <v>121</v>
      </c>
      <c r="G32" s="64">
        <v>417</v>
      </c>
    </row>
    <row r="33" spans="1:7" ht="19.5" customHeight="1" x14ac:dyDescent="0.3">
      <c r="A33" s="13" t="s">
        <v>232</v>
      </c>
      <c r="B33" s="65">
        <v>2290</v>
      </c>
      <c r="C33" s="65">
        <v>504</v>
      </c>
      <c r="D33" s="44">
        <v>0</v>
      </c>
      <c r="E33" s="44">
        <v>0</v>
      </c>
      <c r="F33" s="65">
        <v>0</v>
      </c>
      <c r="G33" s="65">
        <v>2290</v>
      </c>
    </row>
    <row r="34" spans="1:7" ht="19.5" customHeight="1" x14ac:dyDescent="0.3">
      <c r="A34" s="17" t="s">
        <v>234</v>
      </c>
      <c r="B34" s="64">
        <v>150</v>
      </c>
      <c r="C34" s="64">
        <v>95</v>
      </c>
      <c r="D34" s="64">
        <v>10</v>
      </c>
      <c r="E34" s="64">
        <v>0</v>
      </c>
      <c r="F34" s="64">
        <v>1</v>
      </c>
      <c r="G34" s="64">
        <v>150</v>
      </c>
    </row>
    <row r="35" spans="1:7" ht="19.5" customHeight="1" x14ac:dyDescent="0.3">
      <c r="A35" s="13" t="s">
        <v>236</v>
      </c>
      <c r="B35" s="65">
        <v>206</v>
      </c>
      <c r="C35" s="65">
        <v>196</v>
      </c>
      <c r="D35" s="65">
        <v>13</v>
      </c>
      <c r="E35" s="65">
        <v>12</v>
      </c>
      <c r="F35" s="44">
        <v>0</v>
      </c>
      <c r="G35" s="65">
        <v>206</v>
      </c>
    </row>
    <row r="36" spans="1:7" ht="19.5" customHeight="1" x14ac:dyDescent="0.3">
      <c r="A36" s="17" t="s">
        <v>238</v>
      </c>
      <c r="B36" s="64">
        <v>1013</v>
      </c>
      <c r="C36" s="64">
        <v>129</v>
      </c>
      <c r="D36" s="64">
        <v>264</v>
      </c>
      <c r="E36" s="64">
        <v>37</v>
      </c>
      <c r="F36" s="64">
        <v>116</v>
      </c>
      <c r="G36" s="64">
        <v>1013</v>
      </c>
    </row>
    <row r="37" spans="1:7" ht="19.5" customHeight="1" x14ac:dyDescent="0.3">
      <c r="A37" s="13" t="s">
        <v>240</v>
      </c>
      <c r="B37" s="65">
        <v>740</v>
      </c>
      <c r="C37" s="65">
        <v>115</v>
      </c>
      <c r="D37" s="65">
        <v>241</v>
      </c>
      <c r="E37" s="65">
        <v>29</v>
      </c>
      <c r="F37" s="65">
        <v>52</v>
      </c>
      <c r="G37" s="65">
        <v>740</v>
      </c>
    </row>
    <row r="38" spans="1:7" ht="19.5" customHeight="1" x14ac:dyDescent="0.3">
      <c r="A38" s="17" t="s">
        <v>242</v>
      </c>
      <c r="B38" s="64">
        <v>413</v>
      </c>
      <c r="C38" s="64">
        <v>74</v>
      </c>
      <c r="D38" s="64">
        <v>3</v>
      </c>
      <c r="E38" s="64">
        <v>0</v>
      </c>
      <c r="F38" s="64">
        <v>5</v>
      </c>
      <c r="G38" s="64">
        <v>413</v>
      </c>
    </row>
    <row r="39" spans="1:7" ht="19.5" customHeight="1" x14ac:dyDescent="0.3">
      <c r="A39" s="13" t="s">
        <v>118</v>
      </c>
      <c r="B39" s="65">
        <v>15979</v>
      </c>
      <c r="C39" s="65">
        <v>2833</v>
      </c>
      <c r="D39" s="65">
        <v>7488</v>
      </c>
      <c r="E39" s="65">
        <v>1257</v>
      </c>
      <c r="F39" s="65">
        <v>5675</v>
      </c>
      <c r="G39" s="65">
        <v>15979</v>
      </c>
    </row>
    <row r="40" spans="1:7" ht="19.5" customHeight="1" x14ac:dyDescent="0.3">
      <c r="A40" s="17" t="s">
        <v>245</v>
      </c>
      <c r="B40" s="64">
        <v>2372</v>
      </c>
      <c r="C40" s="64">
        <v>297</v>
      </c>
      <c r="D40" s="64">
        <v>41</v>
      </c>
      <c r="E40" s="64">
        <v>1</v>
      </c>
      <c r="F40" s="64">
        <v>8</v>
      </c>
      <c r="G40" s="64">
        <v>2372</v>
      </c>
    </row>
    <row r="41" spans="1:7" ht="19.5" customHeight="1" x14ac:dyDescent="0.3">
      <c r="A41" s="13" t="s">
        <v>247</v>
      </c>
      <c r="B41" s="65">
        <v>645</v>
      </c>
      <c r="C41" s="65">
        <v>111</v>
      </c>
      <c r="D41" s="65">
        <v>632</v>
      </c>
      <c r="E41" s="65">
        <v>60</v>
      </c>
      <c r="F41" s="65">
        <v>180</v>
      </c>
      <c r="G41" s="65">
        <v>645</v>
      </c>
    </row>
    <row r="42" spans="1:7" ht="19.5" customHeight="1" x14ac:dyDescent="0.3">
      <c r="A42" s="17" t="s">
        <v>249</v>
      </c>
      <c r="B42" s="64">
        <v>83</v>
      </c>
      <c r="C42" s="64">
        <v>14</v>
      </c>
      <c r="D42" s="64">
        <v>2</v>
      </c>
      <c r="E42" s="38">
        <v>1</v>
      </c>
      <c r="F42" s="64">
        <v>1</v>
      </c>
      <c r="G42" s="64">
        <v>83</v>
      </c>
    </row>
    <row r="43" spans="1:7" ht="19.5" customHeight="1" x14ac:dyDescent="0.3">
      <c r="A43" s="13" t="s">
        <v>106</v>
      </c>
      <c r="B43" s="65">
        <v>85</v>
      </c>
      <c r="C43" s="65">
        <v>19</v>
      </c>
      <c r="D43" s="65">
        <v>1</v>
      </c>
      <c r="E43" s="65">
        <v>0</v>
      </c>
      <c r="F43" s="65">
        <v>4</v>
      </c>
      <c r="G43" s="65">
        <v>85</v>
      </c>
    </row>
    <row r="44" spans="1:7" ht="19.5" customHeight="1" x14ac:dyDescent="0.3">
      <c r="A44" s="17" t="s">
        <v>252</v>
      </c>
      <c r="B44" s="64">
        <v>474</v>
      </c>
      <c r="C44" s="64">
        <v>116</v>
      </c>
      <c r="D44" s="38">
        <v>1</v>
      </c>
      <c r="E44" s="64">
        <v>0</v>
      </c>
      <c r="F44" s="64">
        <v>1</v>
      </c>
      <c r="G44" s="64">
        <v>474</v>
      </c>
    </row>
    <row r="45" spans="1:7" ht="19.5" customHeight="1" x14ac:dyDescent="0.3">
      <c r="A45" s="13" t="s">
        <v>254</v>
      </c>
      <c r="B45" s="65">
        <v>46</v>
      </c>
      <c r="C45" s="65">
        <v>45</v>
      </c>
      <c r="D45" s="65">
        <v>9</v>
      </c>
      <c r="E45" s="65">
        <v>9</v>
      </c>
      <c r="F45" s="65">
        <v>1</v>
      </c>
      <c r="G45" s="65">
        <v>46</v>
      </c>
    </row>
    <row r="46" spans="1:7" ht="19.5" customHeight="1" x14ac:dyDescent="0.3">
      <c r="A46" s="17" t="s">
        <v>77</v>
      </c>
      <c r="B46" s="64">
        <v>289</v>
      </c>
      <c r="C46" s="64">
        <v>34</v>
      </c>
      <c r="D46" s="64">
        <v>1</v>
      </c>
      <c r="E46" s="64">
        <v>0</v>
      </c>
      <c r="F46" s="64">
        <v>3</v>
      </c>
      <c r="G46" s="64">
        <v>289</v>
      </c>
    </row>
    <row r="47" spans="1:7" ht="19.5" customHeight="1" x14ac:dyDescent="0.3">
      <c r="A47" s="13" t="s">
        <v>257</v>
      </c>
      <c r="B47" s="65">
        <v>1200</v>
      </c>
      <c r="C47" s="65">
        <v>264</v>
      </c>
      <c r="D47" s="65">
        <v>530</v>
      </c>
      <c r="E47" s="65">
        <v>108</v>
      </c>
      <c r="F47" s="65">
        <v>264</v>
      </c>
      <c r="G47" s="65">
        <v>1200</v>
      </c>
    </row>
    <row r="48" spans="1:7" ht="19.5" customHeight="1" x14ac:dyDescent="0.3">
      <c r="A48" s="17" t="s">
        <v>259</v>
      </c>
      <c r="B48" s="64">
        <v>894</v>
      </c>
      <c r="C48" s="64">
        <v>84</v>
      </c>
      <c r="D48" s="64">
        <v>0</v>
      </c>
      <c r="E48" s="38">
        <v>0</v>
      </c>
      <c r="F48" s="64">
        <v>4</v>
      </c>
      <c r="G48" s="64">
        <v>894</v>
      </c>
    </row>
    <row r="49" spans="1:7" ht="19.5" customHeight="1" x14ac:dyDescent="0.3">
      <c r="A49" s="13" t="s">
        <v>261</v>
      </c>
      <c r="B49" s="65">
        <v>380</v>
      </c>
      <c r="C49" s="65">
        <v>93</v>
      </c>
      <c r="D49" s="65">
        <v>0</v>
      </c>
      <c r="E49" s="44">
        <v>0</v>
      </c>
      <c r="F49" s="65">
        <v>3</v>
      </c>
      <c r="G49" s="65">
        <v>380</v>
      </c>
    </row>
    <row r="50" spans="1:7" ht="19.5" customHeight="1" x14ac:dyDescent="0.3">
      <c r="A50" s="17" t="s">
        <v>263</v>
      </c>
      <c r="B50" s="64">
        <v>95</v>
      </c>
      <c r="C50" s="64">
        <v>81</v>
      </c>
      <c r="D50" s="64">
        <v>13</v>
      </c>
      <c r="E50" s="64">
        <v>7</v>
      </c>
      <c r="F50" s="38">
        <v>0</v>
      </c>
      <c r="G50" s="64">
        <v>95</v>
      </c>
    </row>
    <row r="51" spans="1:7" ht="19.5" customHeight="1" x14ac:dyDescent="0.3">
      <c r="A51" s="13" t="s">
        <v>265</v>
      </c>
      <c r="B51" s="65">
        <v>589</v>
      </c>
      <c r="C51" s="65">
        <v>96</v>
      </c>
      <c r="D51" s="65">
        <v>0</v>
      </c>
      <c r="E51" s="44">
        <v>0</v>
      </c>
      <c r="F51" s="65">
        <v>4</v>
      </c>
      <c r="G51" s="65">
        <v>589</v>
      </c>
    </row>
    <row r="52" spans="1:7" ht="19.5" customHeight="1" x14ac:dyDescent="0.3">
      <c r="A52" s="17" t="s">
        <v>133</v>
      </c>
      <c r="B52" s="64">
        <v>21004</v>
      </c>
      <c r="C52" s="64">
        <v>4428</v>
      </c>
      <c r="D52" s="64">
        <v>647</v>
      </c>
      <c r="E52" s="64">
        <v>143</v>
      </c>
      <c r="F52" s="64">
        <v>273</v>
      </c>
      <c r="G52" s="64">
        <v>21004</v>
      </c>
    </row>
    <row r="53" spans="1:7" ht="19.5" customHeight="1" x14ac:dyDescent="0.3">
      <c r="A53" s="13" t="s">
        <v>268</v>
      </c>
      <c r="B53" s="65">
        <v>163</v>
      </c>
      <c r="C53" s="65">
        <v>149</v>
      </c>
      <c r="D53" s="65">
        <v>6</v>
      </c>
      <c r="E53" s="65">
        <v>5</v>
      </c>
      <c r="F53" s="65">
        <v>1</v>
      </c>
      <c r="G53" s="65">
        <v>163</v>
      </c>
    </row>
    <row r="54" spans="1:7" ht="19.5" customHeight="1" x14ac:dyDescent="0.3">
      <c r="A54" s="17" t="s">
        <v>270</v>
      </c>
      <c r="B54" s="64">
        <v>5</v>
      </c>
      <c r="C54" s="64">
        <v>3</v>
      </c>
      <c r="D54" s="38">
        <v>0</v>
      </c>
      <c r="E54" s="38">
        <v>0</v>
      </c>
      <c r="F54" s="38">
        <v>0</v>
      </c>
      <c r="G54" s="64">
        <v>5</v>
      </c>
    </row>
    <row r="55" spans="1:7" ht="19.5" customHeight="1" x14ac:dyDescent="0.3">
      <c r="A55" s="13" t="s">
        <v>272</v>
      </c>
      <c r="B55" s="65">
        <v>6800</v>
      </c>
      <c r="C55" s="65">
        <v>1169</v>
      </c>
      <c r="D55" s="65">
        <v>8522</v>
      </c>
      <c r="E55" s="65">
        <v>1315</v>
      </c>
      <c r="F55" s="65">
        <v>812</v>
      </c>
      <c r="G55" s="65">
        <v>6800</v>
      </c>
    </row>
    <row r="56" spans="1:7" ht="19.5" customHeight="1" x14ac:dyDescent="0.3">
      <c r="A56" s="17" t="s">
        <v>91</v>
      </c>
      <c r="B56" s="64">
        <v>1675</v>
      </c>
      <c r="C56" s="64">
        <v>289</v>
      </c>
      <c r="D56" s="64">
        <v>139</v>
      </c>
      <c r="E56" s="64">
        <v>15</v>
      </c>
      <c r="F56" s="64">
        <v>56</v>
      </c>
      <c r="G56" s="64">
        <v>1675</v>
      </c>
    </row>
    <row r="57" spans="1:7" ht="19.5" customHeight="1" x14ac:dyDescent="0.3">
      <c r="A57" s="13" t="s">
        <v>276</v>
      </c>
      <c r="B57" s="65">
        <v>5684</v>
      </c>
      <c r="C57" s="65">
        <v>1123</v>
      </c>
      <c r="D57" s="65">
        <v>1</v>
      </c>
      <c r="E57" s="65">
        <v>1</v>
      </c>
      <c r="F57" s="65">
        <v>0</v>
      </c>
      <c r="G57" s="65">
        <v>5684</v>
      </c>
    </row>
    <row r="58" spans="1:7" ht="19.5" customHeight="1" x14ac:dyDescent="0.3">
      <c r="A58" s="17" t="s">
        <v>278</v>
      </c>
      <c r="B58" s="64">
        <v>4366</v>
      </c>
      <c r="C58" s="64">
        <v>973</v>
      </c>
      <c r="D58" s="64">
        <v>2</v>
      </c>
      <c r="E58" s="64">
        <v>0</v>
      </c>
      <c r="F58" s="64">
        <v>7</v>
      </c>
      <c r="G58" s="64">
        <v>4366</v>
      </c>
    </row>
    <row r="59" spans="1:7" ht="19.5" customHeight="1" x14ac:dyDescent="0.3">
      <c r="A59" s="13" t="s">
        <v>280</v>
      </c>
      <c r="B59" s="65">
        <v>1010</v>
      </c>
      <c r="C59" s="65">
        <v>229</v>
      </c>
      <c r="D59" s="65">
        <v>0</v>
      </c>
      <c r="E59" s="65">
        <v>0</v>
      </c>
      <c r="F59" s="65">
        <v>0</v>
      </c>
      <c r="G59" s="65">
        <v>1010</v>
      </c>
    </row>
    <row r="60" spans="1:7" ht="19.5" customHeight="1" x14ac:dyDescent="0.3">
      <c r="A60" s="17" t="s">
        <v>282</v>
      </c>
      <c r="B60" s="64">
        <v>820</v>
      </c>
      <c r="C60" s="64">
        <v>143</v>
      </c>
      <c r="D60" s="38">
        <v>0</v>
      </c>
      <c r="E60" s="38">
        <v>0</v>
      </c>
      <c r="F60" s="38">
        <v>0</v>
      </c>
      <c r="G60" s="64">
        <v>820</v>
      </c>
    </row>
    <row r="61" spans="1:7" ht="19.5" customHeight="1" x14ac:dyDescent="0.3">
      <c r="A61" s="13" t="s">
        <v>284</v>
      </c>
      <c r="B61" s="65">
        <v>476</v>
      </c>
      <c r="C61" s="65">
        <v>78</v>
      </c>
      <c r="D61" s="65">
        <v>107</v>
      </c>
      <c r="E61" s="65">
        <v>13</v>
      </c>
      <c r="F61" s="65">
        <v>32</v>
      </c>
      <c r="G61" s="65">
        <v>476</v>
      </c>
    </row>
    <row r="62" spans="1:7" ht="19.5" customHeight="1" x14ac:dyDescent="0.3">
      <c r="A62" s="17" t="s">
        <v>82</v>
      </c>
      <c r="B62" s="64">
        <v>6128</v>
      </c>
      <c r="C62" s="64">
        <v>1198</v>
      </c>
      <c r="D62" s="64">
        <v>16</v>
      </c>
      <c r="E62" s="64">
        <v>1</v>
      </c>
      <c r="F62" s="64">
        <v>15</v>
      </c>
      <c r="G62" s="64">
        <v>6128</v>
      </c>
    </row>
    <row r="63" spans="1:7" ht="19.5" customHeight="1" x14ac:dyDescent="0.3">
      <c r="A63" s="13" t="s">
        <v>287</v>
      </c>
      <c r="B63" s="65">
        <v>84228</v>
      </c>
      <c r="C63" s="65">
        <v>17503</v>
      </c>
      <c r="D63" s="65">
        <v>71612</v>
      </c>
      <c r="E63" s="65">
        <v>12255</v>
      </c>
      <c r="F63" s="65">
        <v>81</v>
      </c>
      <c r="G63" s="65">
        <v>84228</v>
      </c>
    </row>
    <row r="64" spans="1:7" ht="19.5" customHeight="1" x14ac:dyDescent="0.3">
      <c r="A64" s="17" t="s">
        <v>289</v>
      </c>
      <c r="B64" s="64">
        <v>232</v>
      </c>
      <c r="C64" s="64">
        <v>220</v>
      </c>
      <c r="D64" s="64">
        <v>13</v>
      </c>
      <c r="E64" s="64">
        <v>12</v>
      </c>
      <c r="F64" s="64">
        <v>1</v>
      </c>
      <c r="G64" s="64">
        <v>232</v>
      </c>
    </row>
    <row r="65" spans="1:7" ht="19.5" customHeight="1" x14ac:dyDescent="0.3">
      <c r="A65" s="13" t="s">
        <v>291</v>
      </c>
      <c r="B65" s="65">
        <v>1057</v>
      </c>
      <c r="C65" s="65">
        <v>242</v>
      </c>
      <c r="D65" s="65">
        <v>3</v>
      </c>
      <c r="E65" s="65">
        <v>0</v>
      </c>
      <c r="F65" s="65">
        <v>10</v>
      </c>
      <c r="G65" s="65">
        <v>1057</v>
      </c>
    </row>
    <row r="66" spans="1:7" ht="19.5" customHeight="1" x14ac:dyDescent="0.3">
      <c r="A66" s="17" t="s">
        <v>293</v>
      </c>
      <c r="B66" s="64">
        <v>20427</v>
      </c>
      <c r="C66" s="64">
        <v>4498</v>
      </c>
      <c r="D66" s="64">
        <v>48</v>
      </c>
      <c r="E66" s="64">
        <v>7</v>
      </c>
      <c r="F66" s="64">
        <v>39</v>
      </c>
      <c r="G66" s="64">
        <v>20427</v>
      </c>
    </row>
    <row r="67" spans="1:7" ht="19.5" customHeight="1" x14ac:dyDescent="0.3">
      <c r="A67" s="13" t="s">
        <v>295</v>
      </c>
      <c r="B67" s="65">
        <v>0</v>
      </c>
      <c r="C67" s="44">
        <v>0</v>
      </c>
      <c r="D67" s="65">
        <v>0</v>
      </c>
      <c r="E67" s="44">
        <v>0</v>
      </c>
      <c r="F67" s="65">
        <v>0</v>
      </c>
      <c r="G67" s="65">
        <v>0</v>
      </c>
    </row>
    <row r="68" spans="1:7" ht="19.5" customHeight="1" x14ac:dyDescent="0.3">
      <c r="A68" s="17" t="s">
        <v>297</v>
      </c>
      <c r="B68" s="64">
        <v>10760</v>
      </c>
      <c r="C68" s="64">
        <v>1424</v>
      </c>
      <c r="D68" s="64">
        <v>2022</v>
      </c>
      <c r="E68" s="64">
        <v>352</v>
      </c>
      <c r="F68" s="64">
        <v>857</v>
      </c>
      <c r="G68" s="64">
        <v>10760</v>
      </c>
    </row>
  </sheetData>
  <mergeCells count="2">
    <mergeCell ref="A2:G2"/>
    <mergeCell ref="A1:G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498DB"/>
  </sheetPr>
  <dimension ref="A1:G18"/>
  <sheetViews>
    <sheetView showGridLines="0" workbookViewId="0">
      <pane xSplit="1" ySplit="3" topLeftCell="B4" activePane="bottomRight" state="frozen"/>
      <selection pane="topRight"/>
      <selection pane="bottomLeft"/>
      <selection pane="bottomRight" sqref="A1:G1"/>
    </sheetView>
  </sheetViews>
  <sheetFormatPr defaultRowHeight="14.4" x14ac:dyDescent="0.3"/>
  <cols>
    <col min="1" max="1" width="26" customWidth="1"/>
    <col min="2" max="5" width="14" customWidth="1"/>
    <col min="6" max="7" width="24" customWidth="1"/>
  </cols>
  <sheetData>
    <row r="1" spans="1:7" ht="31.95" customHeight="1" x14ac:dyDescent="0.3">
      <c r="A1" s="132" t="s">
        <v>698</v>
      </c>
      <c r="B1" s="118"/>
      <c r="C1" s="118"/>
      <c r="D1" s="118"/>
      <c r="E1" s="118"/>
      <c r="F1" s="118"/>
      <c r="G1" s="118"/>
    </row>
    <row r="2" spans="1:7" ht="19.95" customHeight="1" x14ac:dyDescent="0.3">
      <c r="A2" s="131" t="s">
        <v>699</v>
      </c>
      <c r="B2" s="118"/>
      <c r="C2" s="118"/>
      <c r="D2" s="118"/>
      <c r="E2" s="118"/>
      <c r="F2" s="118"/>
      <c r="G2" s="118"/>
    </row>
    <row r="3" spans="1:7" ht="31.95" customHeight="1" x14ac:dyDescent="0.3">
      <c r="A3" s="74" t="s">
        <v>30</v>
      </c>
      <c r="B3" s="74" t="s">
        <v>700</v>
      </c>
      <c r="C3" s="74" t="s">
        <v>701</v>
      </c>
      <c r="D3" s="74" t="s">
        <v>702</v>
      </c>
      <c r="E3" s="74" t="s">
        <v>703</v>
      </c>
      <c r="F3" s="74" t="s">
        <v>704</v>
      </c>
      <c r="G3" s="74" t="s">
        <v>705</v>
      </c>
    </row>
    <row r="4" spans="1:7" ht="22.05" customHeight="1" x14ac:dyDescent="0.3">
      <c r="A4" s="75" t="s">
        <v>42</v>
      </c>
      <c r="B4" s="76">
        <v>19787</v>
      </c>
      <c r="C4" s="76">
        <v>6418</v>
      </c>
      <c r="D4" s="76">
        <v>5513</v>
      </c>
      <c r="E4" s="76">
        <v>5222</v>
      </c>
      <c r="F4" s="97" t="s">
        <v>706</v>
      </c>
      <c r="G4" s="97" t="s">
        <v>707</v>
      </c>
    </row>
    <row r="5" spans="1:7" ht="22.05" customHeight="1" x14ac:dyDescent="0.3">
      <c r="A5" s="84" t="s">
        <v>45</v>
      </c>
      <c r="B5" s="85">
        <v>11020</v>
      </c>
      <c r="C5" s="85">
        <v>4507</v>
      </c>
      <c r="D5" s="85">
        <v>2712</v>
      </c>
      <c r="E5" s="85">
        <v>2412</v>
      </c>
      <c r="F5" s="98" t="s">
        <v>706</v>
      </c>
      <c r="G5" s="98" t="s">
        <v>707</v>
      </c>
    </row>
    <row r="6" spans="1:7" ht="22.05" customHeight="1" x14ac:dyDescent="0.3">
      <c r="A6" s="75" t="s">
        <v>40</v>
      </c>
      <c r="B6" s="76">
        <v>35125</v>
      </c>
      <c r="C6" s="76">
        <v>8555</v>
      </c>
      <c r="D6" s="76">
        <v>3015</v>
      </c>
      <c r="E6" s="76">
        <v>8058</v>
      </c>
      <c r="F6" s="97" t="s">
        <v>706</v>
      </c>
      <c r="G6" s="97" t="s">
        <v>707</v>
      </c>
    </row>
    <row r="7" spans="1:7" ht="22.05" customHeight="1" x14ac:dyDescent="0.3">
      <c r="A7" s="84" t="s">
        <v>38</v>
      </c>
      <c r="B7" s="85">
        <v>19306</v>
      </c>
      <c r="C7" s="85">
        <v>6424</v>
      </c>
      <c r="D7" s="85">
        <v>5062</v>
      </c>
      <c r="E7" s="85">
        <v>5228</v>
      </c>
      <c r="F7" s="98" t="s">
        <v>706</v>
      </c>
      <c r="G7" s="98" t="s">
        <v>708</v>
      </c>
    </row>
    <row r="8" spans="1:7" ht="22.05" customHeight="1" x14ac:dyDescent="0.3">
      <c r="A8" s="75" t="s">
        <v>47</v>
      </c>
      <c r="B8" s="76">
        <v>71451</v>
      </c>
      <c r="C8" s="76">
        <v>27469</v>
      </c>
      <c r="D8" s="76">
        <v>18154</v>
      </c>
      <c r="E8" s="76">
        <v>18336</v>
      </c>
      <c r="F8" s="97" t="s">
        <v>706</v>
      </c>
      <c r="G8" s="97" t="s">
        <v>708</v>
      </c>
    </row>
    <row r="9" spans="1:7" ht="22.05" customHeight="1" x14ac:dyDescent="0.3">
      <c r="A9" s="84" t="s">
        <v>4</v>
      </c>
      <c r="B9" s="85">
        <v>32496</v>
      </c>
      <c r="C9" s="85">
        <v>19540</v>
      </c>
      <c r="D9" s="85">
        <v>5274</v>
      </c>
      <c r="E9" s="85">
        <v>5414</v>
      </c>
      <c r="F9" s="98" t="s">
        <v>706</v>
      </c>
      <c r="G9" s="98" t="s">
        <v>708</v>
      </c>
    </row>
    <row r="10" spans="1:7" ht="22.05" customHeight="1" x14ac:dyDescent="0.3">
      <c r="A10" s="75" t="s">
        <v>41</v>
      </c>
      <c r="B10" s="76">
        <v>21531</v>
      </c>
      <c r="C10" s="76">
        <v>4706</v>
      </c>
      <c r="D10" s="76">
        <v>3493</v>
      </c>
      <c r="E10" s="76">
        <v>11736</v>
      </c>
      <c r="F10" s="97" t="s">
        <v>706</v>
      </c>
      <c r="G10" s="97" t="s">
        <v>707</v>
      </c>
    </row>
    <row r="11" spans="1:7" ht="22.05" customHeight="1" x14ac:dyDescent="0.3">
      <c r="A11" s="84" t="s">
        <v>51</v>
      </c>
      <c r="B11" s="85">
        <v>47801</v>
      </c>
      <c r="C11" s="85">
        <v>15666</v>
      </c>
      <c r="D11" s="85">
        <v>11698</v>
      </c>
      <c r="E11" s="85">
        <v>10466</v>
      </c>
      <c r="F11" s="98" t="s">
        <v>706</v>
      </c>
      <c r="G11" s="98" t="s">
        <v>707</v>
      </c>
    </row>
    <row r="12" spans="1:7" ht="22.05" customHeight="1" x14ac:dyDescent="0.3">
      <c r="A12" s="75" t="s">
        <v>54</v>
      </c>
      <c r="B12" s="76">
        <v>17833</v>
      </c>
      <c r="C12" s="76">
        <v>4318</v>
      </c>
      <c r="D12" s="76">
        <v>2135</v>
      </c>
      <c r="E12" s="76">
        <v>2248</v>
      </c>
      <c r="F12" s="97" t="s">
        <v>706</v>
      </c>
      <c r="G12" s="97" t="s">
        <v>709</v>
      </c>
    </row>
    <row r="13" spans="1:7" ht="22.05" customHeight="1" x14ac:dyDescent="0.3">
      <c r="A13" s="84" t="s">
        <v>52</v>
      </c>
      <c r="B13" s="85">
        <v>88436</v>
      </c>
      <c r="C13" s="85">
        <v>20406</v>
      </c>
      <c r="D13" s="85">
        <v>31190</v>
      </c>
      <c r="E13" s="85">
        <v>23626</v>
      </c>
      <c r="F13" s="98" t="s">
        <v>706</v>
      </c>
      <c r="G13" s="98" t="s">
        <v>707</v>
      </c>
    </row>
    <row r="14" spans="1:7" ht="22.05" customHeight="1" x14ac:dyDescent="0.3">
      <c r="A14" s="75" t="s">
        <v>48</v>
      </c>
      <c r="B14" s="76">
        <v>82119</v>
      </c>
      <c r="C14" s="76">
        <v>22732</v>
      </c>
      <c r="D14" s="76">
        <v>20682</v>
      </c>
      <c r="E14" s="76">
        <v>15163</v>
      </c>
      <c r="F14" s="97" t="s">
        <v>706</v>
      </c>
      <c r="G14" s="97" t="s">
        <v>707</v>
      </c>
    </row>
    <row r="15" spans="1:7" ht="22.05" customHeight="1" x14ac:dyDescent="0.3">
      <c r="A15" s="84" t="s">
        <v>53</v>
      </c>
      <c r="B15" s="85">
        <v>12918</v>
      </c>
      <c r="C15" s="85">
        <v>2616</v>
      </c>
      <c r="D15" s="85">
        <v>70</v>
      </c>
      <c r="E15" s="85">
        <v>9566</v>
      </c>
      <c r="F15" s="98" t="s">
        <v>706</v>
      </c>
      <c r="G15" s="98" t="s">
        <v>707</v>
      </c>
    </row>
    <row r="16" spans="1:7" ht="22.05" customHeight="1" x14ac:dyDescent="0.3">
      <c r="A16" s="75" t="s">
        <v>49</v>
      </c>
      <c r="B16" s="76">
        <v>10393</v>
      </c>
      <c r="C16" s="76">
        <v>4069</v>
      </c>
      <c r="D16" s="76">
        <v>1141</v>
      </c>
      <c r="E16" s="76">
        <v>3873</v>
      </c>
      <c r="F16" s="97" t="s">
        <v>706</v>
      </c>
      <c r="G16" s="97" t="s">
        <v>707</v>
      </c>
    </row>
    <row r="17" spans="1:7" ht="22.05" customHeight="1" x14ac:dyDescent="0.3">
      <c r="A17" s="84" t="s">
        <v>43</v>
      </c>
      <c r="B17" s="85">
        <v>5600</v>
      </c>
      <c r="C17" s="85">
        <v>766</v>
      </c>
      <c r="D17" s="85">
        <v>2696</v>
      </c>
      <c r="E17" s="85">
        <v>691</v>
      </c>
      <c r="F17" s="98" t="s">
        <v>706</v>
      </c>
      <c r="G17" s="98" t="s">
        <v>707</v>
      </c>
    </row>
    <row r="18" spans="1:7" ht="22.05" customHeight="1" x14ac:dyDescent="0.3">
      <c r="A18" s="75" t="s">
        <v>50</v>
      </c>
      <c r="B18" s="76">
        <v>1426</v>
      </c>
      <c r="C18" s="76">
        <v>359</v>
      </c>
      <c r="D18" s="76">
        <v>110</v>
      </c>
      <c r="E18" s="76">
        <v>790</v>
      </c>
      <c r="F18" s="97" t="s">
        <v>706</v>
      </c>
      <c r="G18" s="97" t="s">
        <v>707</v>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27AE60"/>
  </sheetPr>
  <dimension ref="A1:L67"/>
  <sheetViews>
    <sheetView showGridLines="0" zoomScaleNormal="100" workbookViewId="0">
      <pane xSplit="1" ySplit="3" topLeftCell="B35" activePane="bottomRight" state="frozen"/>
      <selection pane="topRight" activeCell="B1" sqref="B1"/>
      <selection pane="bottomLeft" activeCell="A4" sqref="A4"/>
      <selection pane="bottomRight" activeCell="M8" sqref="M8"/>
    </sheetView>
  </sheetViews>
  <sheetFormatPr defaultColWidth="8.6640625" defaultRowHeight="14.4" x14ac:dyDescent="0.3"/>
  <cols>
    <col min="1" max="1" width="29" customWidth="1"/>
    <col min="2" max="3" width="10" customWidth="1"/>
    <col min="4" max="11" width="12" customWidth="1"/>
  </cols>
  <sheetData>
    <row r="1" spans="1:12" ht="31.5" customHeight="1" x14ac:dyDescent="0.3">
      <c r="A1" s="130" t="s">
        <v>710</v>
      </c>
      <c r="B1" s="118"/>
      <c r="C1" s="118"/>
      <c r="D1" s="118"/>
      <c r="E1" s="118"/>
      <c r="F1" s="118"/>
      <c r="G1" s="118"/>
      <c r="H1" s="118"/>
      <c r="I1" s="118"/>
      <c r="J1" s="118"/>
      <c r="K1" s="118"/>
    </row>
    <row r="2" spans="1:12" ht="19.5" customHeight="1" x14ac:dyDescent="0.3">
      <c r="A2" s="129" t="s">
        <v>711</v>
      </c>
      <c r="B2" s="118"/>
      <c r="C2" s="118"/>
      <c r="D2" s="118"/>
      <c r="E2" s="118"/>
      <c r="F2" s="118"/>
      <c r="G2" s="118"/>
      <c r="H2" s="118"/>
      <c r="I2" s="118"/>
      <c r="J2" s="118"/>
      <c r="K2" s="118"/>
    </row>
    <row r="3" spans="1:12" ht="36" customHeight="1" x14ac:dyDescent="0.3">
      <c r="A3" s="30" t="s">
        <v>166</v>
      </c>
      <c r="B3" s="30" t="s">
        <v>712</v>
      </c>
      <c r="C3" s="30" t="s">
        <v>713</v>
      </c>
      <c r="D3" s="30" t="s">
        <v>714</v>
      </c>
      <c r="E3" s="30" t="s">
        <v>715</v>
      </c>
      <c r="F3" s="30" t="s">
        <v>716</v>
      </c>
      <c r="G3" s="30" t="s">
        <v>717</v>
      </c>
      <c r="H3" s="30" t="s">
        <v>718</v>
      </c>
      <c r="I3" s="30" t="s">
        <v>719</v>
      </c>
      <c r="J3" s="30" t="s">
        <v>720</v>
      </c>
      <c r="K3" s="30" t="s">
        <v>721</v>
      </c>
      <c r="L3" s="30" t="s">
        <v>722</v>
      </c>
    </row>
    <row r="4" spans="1:12" ht="19.5" customHeight="1" x14ac:dyDescent="0.3">
      <c r="A4" s="17" t="s">
        <v>272</v>
      </c>
      <c r="B4" s="31" t="s">
        <v>723</v>
      </c>
      <c r="C4" s="57">
        <v>111.9</v>
      </c>
      <c r="D4" s="26">
        <v>10</v>
      </c>
      <c r="E4" s="26">
        <v>9</v>
      </c>
      <c r="F4" s="26">
        <v>8.6999999999999993</v>
      </c>
      <c r="G4" s="26">
        <v>8.6</v>
      </c>
      <c r="H4" s="26">
        <v>9.1</v>
      </c>
      <c r="I4" s="26">
        <v>9.5</v>
      </c>
      <c r="J4" s="26">
        <v>9.6</v>
      </c>
      <c r="K4" s="26">
        <v>9.8000000000000007</v>
      </c>
    </row>
    <row r="5" spans="1:12" ht="19.5" customHeight="1" x14ac:dyDescent="0.3">
      <c r="A5" s="13" t="s">
        <v>297</v>
      </c>
      <c r="B5" s="32" t="s">
        <v>724</v>
      </c>
      <c r="C5" s="57">
        <v>108.9</v>
      </c>
      <c r="D5" s="22">
        <v>9.6</v>
      </c>
      <c r="E5" s="22">
        <v>9.6</v>
      </c>
      <c r="F5" s="22">
        <v>8.8000000000000007</v>
      </c>
      <c r="G5" s="22">
        <v>6.4</v>
      </c>
      <c r="H5" s="22">
        <v>7.9</v>
      </c>
      <c r="I5" s="22">
        <v>9.9</v>
      </c>
      <c r="J5" s="22">
        <v>9.8000000000000007</v>
      </c>
      <c r="K5" s="22">
        <v>9.6</v>
      </c>
    </row>
    <row r="6" spans="1:12" ht="19.5" customHeight="1" x14ac:dyDescent="0.3">
      <c r="A6" s="17" t="s">
        <v>219</v>
      </c>
      <c r="B6" s="31" t="s">
        <v>725</v>
      </c>
      <c r="C6" s="57">
        <v>102.9</v>
      </c>
      <c r="D6" s="26">
        <v>8.8000000000000007</v>
      </c>
      <c r="E6" s="26">
        <v>7.7</v>
      </c>
      <c r="F6" s="26">
        <v>5.5</v>
      </c>
      <c r="G6" s="26">
        <v>8.3000000000000007</v>
      </c>
      <c r="H6" s="26">
        <v>9.1999999999999993</v>
      </c>
      <c r="I6" s="26">
        <v>8.9</v>
      </c>
      <c r="J6" s="26">
        <v>9.9</v>
      </c>
      <c r="K6" s="26">
        <v>9.8000000000000007</v>
      </c>
    </row>
    <row r="7" spans="1:12" ht="19.5" customHeight="1" x14ac:dyDescent="0.3">
      <c r="A7" s="13" t="s">
        <v>209</v>
      </c>
      <c r="B7" s="32" t="s">
        <v>726</v>
      </c>
      <c r="C7" s="57">
        <v>100.4</v>
      </c>
      <c r="D7" s="22">
        <v>9.8000000000000007</v>
      </c>
      <c r="E7" s="22">
        <v>9.5</v>
      </c>
      <c r="F7" s="22">
        <v>8.9</v>
      </c>
      <c r="G7" s="22">
        <v>6.2</v>
      </c>
      <c r="H7" s="22">
        <v>7.5</v>
      </c>
      <c r="I7" s="22">
        <v>6.8</v>
      </c>
      <c r="J7" s="22">
        <v>8.1999999999999993</v>
      </c>
      <c r="K7" s="22">
        <v>8.6999999999999993</v>
      </c>
    </row>
    <row r="8" spans="1:12" ht="19.5" customHeight="1" x14ac:dyDescent="0.3">
      <c r="A8" s="17" t="s">
        <v>238</v>
      </c>
      <c r="B8" s="31" t="s">
        <v>727</v>
      </c>
      <c r="C8" s="57">
        <v>96.1</v>
      </c>
      <c r="D8" s="26">
        <v>6</v>
      </c>
      <c r="E8" s="26">
        <v>7.5</v>
      </c>
      <c r="F8" s="26">
        <v>7.3</v>
      </c>
      <c r="G8" s="26">
        <v>5</v>
      </c>
      <c r="H8" s="26">
        <v>6.4</v>
      </c>
      <c r="I8" s="26">
        <v>8.9</v>
      </c>
      <c r="J8" s="26">
        <v>9.6</v>
      </c>
      <c r="K8" s="26">
        <v>8</v>
      </c>
    </row>
    <row r="9" spans="1:12" ht="19.5" customHeight="1" x14ac:dyDescent="0.3">
      <c r="A9" s="13" t="s">
        <v>287</v>
      </c>
      <c r="B9" s="32" t="s">
        <v>728</v>
      </c>
      <c r="C9" s="57">
        <v>95.9</v>
      </c>
      <c r="D9" s="22">
        <v>7.3</v>
      </c>
      <c r="E9" s="22">
        <v>10</v>
      </c>
      <c r="F9" s="22">
        <v>6.8</v>
      </c>
      <c r="G9" s="22">
        <v>8.9</v>
      </c>
      <c r="H9" s="22">
        <v>4.9000000000000004</v>
      </c>
      <c r="I9" s="22">
        <v>8.5</v>
      </c>
      <c r="J9" s="22">
        <v>6.4</v>
      </c>
      <c r="K9" s="22">
        <v>7.3</v>
      </c>
    </row>
    <row r="10" spans="1:12" ht="19.5" customHeight="1" x14ac:dyDescent="0.3">
      <c r="A10" s="17" t="s">
        <v>207</v>
      </c>
      <c r="B10" s="31" t="s">
        <v>729</v>
      </c>
      <c r="C10" s="57">
        <v>94.5</v>
      </c>
      <c r="D10" s="26">
        <v>7.7</v>
      </c>
      <c r="E10" s="26">
        <v>6.6</v>
      </c>
      <c r="F10" s="26">
        <v>8.6999999999999993</v>
      </c>
      <c r="G10" s="26">
        <v>8.6</v>
      </c>
      <c r="H10" s="26">
        <v>7.9</v>
      </c>
      <c r="I10" s="26">
        <v>7.1</v>
      </c>
      <c r="J10" s="26">
        <v>9.6999999999999993</v>
      </c>
      <c r="K10" s="26">
        <v>8.1</v>
      </c>
    </row>
    <row r="11" spans="1:12" ht="19.5" customHeight="1" x14ac:dyDescent="0.3">
      <c r="A11" s="13" t="s">
        <v>247</v>
      </c>
      <c r="B11" s="32" t="s">
        <v>730</v>
      </c>
      <c r="C11" s="57">
        <v>94</v>
      </c>
      <c r="D11" s="22">
        <v>9.6</v>
      </c>
      <c r="E11" s="22">
        <v>7.9</v>
      </c>
      <c r="F11" s="22">
        <v>7.4</v>
      </c>
      <c r="G11" s="22">
        <v>7.1</v>
      </c>
      <c r="H11" s="22">
        <v>9.1999999999999993</v>
      </c>
      <c r="I11" s="22">
        <v>7.7</v>
      </c>
      <c r="J11" s="22">
        <v>7.1</v>
      </c>
      <c r="K11" s="22">
        <v>9.6999999999999993</v>
      </c>
    </row>
    <row r="12" spans="1:12" ht="19.5" customHeight="1" x14ac:dyDescent="0.3">
      <c r="A12" s="17" t="s">
        <v>226</v>
      </c>
      <c r="B12" s="31" t="s">
        <v>731</v>
      </c>
      <c r="C12" s="57">
        <v>91.4</v>
      </c>
      <c r="D12" s="26">
        <v>8.1999999999999993</v>
      </c>
      <c r="E12" s="26">
        <v>7.7</v>
      </c>
      <c r="F12" s="26">
        <v>8</v>
      </c>
      <c r="G12" s="26">
        <v>6.1</v>
      </c>
      <c r="H12" s="26">
        <v>5.7</v>
      </c>
      <c r="I12" s="26">
        <v>6.3</v>
      </c>
      <c r="J12" s="26">
        <v>8.3000000000000007</v>
      </c>
      <c r="K12" s="26">
        <v>8.3000000000000007</v>
      </c>
    </row>
    <row r="13" spans="1:12" ht="19.5" customHeight="1" x14ac:dyDescent="0.3">
      <c r="A13" s="13" t="s">
        <v>106</v>
      </c>
      <c r="B13" s="32" t="s">
        <v>732</v>
      </c>
      <c r="C13" s="35">
        <v>87</v>
      </c>
      <c r="D13" s="22">
        <v>7.3</v>
      </c>
      <c r="E13" s="22">
        <v>3.2</v>
      </c>
      <c r="F13" s="22">
        <v>4.5999999999999996</v>
      </c>
      <c r="G13" s="22">
        <v>3.2</v>
      </c>
      <c r="H13" s="22">
        <v>7.3</v>
      </c>
      <c r="I13" s="22">
        <v>8.6999999999999993</v>
      </c>
      <c r="J13" s="22">
        <v>9.8000000000000007</v>
      </c>
      <c r="K13" s="22">
        <v>8</v>
      </c>
    </row>
    <row r="14" spans="1:12" ht="19.5" customHeight="1" x14ac:dyDescent="0.3">
      <c r="A14" s="17" t="s">
        <v>224</v>
      </c>
      <c r="B14" s="31" t="s">
        <v>733</v>
      </c>
      <c r="C14" s="35">
        <v>85.4</v>
      </c>
      <c r="D14" s="26">
        <v>6.8</v>
      </c>
      <c r="E14" s="26">
        <v>5.5</v>
      </c>
      <c r="F14" s="26">
        <v>9.6</v>
      </c>
      <c r="G14" s="26">
        <v>4.9000000000000004</v>
      </c>
      <c r="H14" s="26">
        <v>4.5</v>
      </c>
      <c r="I14" s="26">
        <v>7.6</v>
      </c>
      <c r="J14" s="26">
        <v>9.8000000000000007</v>
      </c>
      <c r="K14" s="26">
        <v>4.0999999999999996</v>
      </c>
    </row>
    <row r="15" spans="1:12" ht="19.5" customHeight="1" x14ac:dyDescent="0.3">
      <c r="A15" s="13" t="s">
        <v>202</v>
      </c>
      <c r="B15" s="32" t="s">
        <v>734</v>
      </c>
      <c r="C15" s="35">
        <v>82.2</v>
      </c>
      <c r="D15" s="22">
        <v>7.1</v>
      </c>
      <c r="E15" s="22">
        <v>7.1</v>
      </c>
      <c r="F15" s="22">
        <v>5.3</v>
      </c>
      <c r="G15" s="22">
        <v>4</v>
      </c>
      <c r="H15" s="22">
        <v>7.2</v>
      </c>
      <c r="I15" s="22">
        <v>7</v>
      </c>
      <c r="J15" s="22">
        <v>8.8000000000000007</v>
      </c>
      <c r="K15" s="22">
        <v>7.6</v>
      </c>
    </row>
    <row r="16" spans="1:12" ht="19.5" customHeight="1" x14ac:dyDescent="0.3">
      <c r="A16" s="17" t="s">
        <v>240</v>
      </c>
      <c r="B16" s="31" t="s">
        <v>735</v>
      </c>
      <c r="C16" s="35">
        <v>81.7</v>
      </c>
      <c r="D16" s="26">
        <v>9.6</v>
      </c>
      <c r="E16" s="26">
        <v>5</v>
      </c>
      <c r="F16" s="26">
        <v>3.8</v>
      </c>
      <c r="G16" s="26">
        <v>5.9</v>
      </c>
      <c r="H16" s="26">
        <v>9.1999999999999993</v>
      </c>
      <c r="I16" s="26">
        <v>7.7</v>
      </c>
      <c r="J16" s="26">
        <v>6.7</v>
      </c>
      <c r="K16" s="26">
        <v>9.3000000000000007</v>
      </c>
    </row>
    <row r="17" spans="1:11" ht="19.5" customHeight="1" x14ac:dyDescent="0.3">
      <c r="A17" s="13" t="s">
        <v>69</v>
      </c>
      <c r="B17" s="32" t="s">
        <v>736</v>
      </c>
      <c r="C17" s="35">
        <v>81.599999999999994</v>
      </c>
      <c r="D17" s="22">
        <v>6.7</v>
      </c>
      <c r="E17" s="22">
        <v>5.5</v>
      </c>
      <c r="F17" s="22">
        <v>7.7</v>
      </c>
      <c r="G17" s="22">
        <v>5</v>
      </c>
      <c r="H17" s="22">
        <v>4.5</v>
      </c>
      <c r="I17" s="22">
        <v>7.1</v>
      </c>
      <c r="J17" s="22">
        <v>8.6</v>
      </c>
      <c r="K17" s="22">
        <v>4.7</v>
      </c>
    </row>
    <row r="18" spans="1:11" ht="19.5" customHeight="1" x14ac:dyDescent="0.3">
      <c r="A18" s="17" t="s">
        <v>82</v>
      </c>
      <c r="B18" s="31" t="s">
        <v>737</v>
      </c>
      <c r="C18" s="35">
        <v>81.2</v>
      </c>
      <c r="D18" s="26">
        <v>4.5</v>
      </c>
      <c r="E18" s="26">
        <v>8.1999999999999993</v>
      </c>
      <c r="F18" s="26">
        <v>9.5</v>
      </c>
      <c r="G18" s="26">
        <v>3.7</v>
      </c>
      <c r="H18" s="26">
        <v>6.6</v>
      </c>
      <c r="I18" s="26">
        <v>6.9</v>
      </c>
      <c r="J18" s="26">
        <v>7.3</v>
      </c>
      <c r="K18" s="26">
        <v>4.8</v>
      </c>
    </row>
    <row r="19" spans="1:11" ht="19.5" customHeight="1" x14ac:dyDescent="0.3">
      <c r="A19" s="13" t="s">
        <v>133</v>
      </c>
      <c r="B19" s="32" t="s">
        <v>738</v>
      </c>
      <c r="C19" s="35">
        <v>80.7</v>
      </c>
      <c r="D19" s="22">
        <v>4.8</v>
      </c>
      <c r="E19" s="22">
        <v>4.8</v>
      </c>
      <c r="F19" s="22">
        <v>7.8</v>
      </c>
      <c r="G19" s="22">
        <v>3.9</v>
      </c>
      <c r="H19" s="22">
        <v>5.2</v>
      </c>
      <c r="I19" s="22">
        <v>7.7</v>
      </c>
      <c r="J19" s="22">
        <v>9.1</v>
      </c>
      <c r="K19" s="22">
        <v>3.7</v>
      </c>
    </row>
    <row r="20" spans="1:11" ht="19.5" customHeight="1" x14ac:dyDescent="0.3">
      <c r="A20" s="17" t="s">
        <v>194</v>
      </c>
      <c r="B20" s="31" t="s">
        <v>739</v>
      </c>
      <c r="C20" s="35">
        <v>78.099999999999994</v>
      </c>
      <c r="D20" s="26">
        <v>7.8</v>
      </c>
      <c r="E20" s="26">
        <v>7.8</v>
      </c>
      <c r="F20" s="26">
        <v>7.3</v>
      </c>
      <c r="G20" s="26">
        <v>4.5999999999999996</v>
      </c>
      <c r="H20" s="26">
        <v>6.4</v>
      </c>
      <c r="I20" s="26">
        <v>6.2</v>
      </c>
      <c r="J20" s="26">
        <v>5.3</v>
      </c>
      <c r="K20" s="26">
        <v>6</v>
      </c>
    </row>
    <row r="21" spans="1:11" ht="19.5" customHeight="1" x14ac:dyDescent="0.3">
      <c r="A21" s="13" t="s">
        <v>257</v>
      </c>
      <c r="B21" s="32" t="s">
        <v>740</v>
      </c>
      <c r="C21" s="35">
        <v>77.8</v>
      </c>
      <c r="D21" s="22">
        <v>7.9</v>
      </c>
      <c r="E21" s="22">
        <v>5.8</v>
      </c>
      <c r="F21" s="22">
        <v>6.8</v>
      </c>
      <c r="G21" s="22">
        <v>4.9000000000000004</v>
      </c>
      <c r="H21" s="22">
        <v>4.7</v>
      </c>
      <c r="I21" s="22">
        <v>4.4000000000000004</v>
      </c>
      <c r="J21" s="22">
        <v>6.8</v>
      </c>
      <c r="K21" s="22">
        <v>6.5</v>
      </c>
    </row>
    <row r="22" spans="1:11" ht="19.5" customHeight="1" x14ac:dyDescent="0.3">
      <c r="A22" s="17" t="s">
        <v>234</v>
      </c>
      <c r="B22" s="31" t="s">
        <v>741</v>
      </c>
      <c r="C22" s="35">
        <v>75.7</v>
      </c>
      <c r="D22" s="26">
        <v>6.3</v>
      </c>
      <c r="E22" s="26">
        <v>8.4</v>
      </c>
      <c r="F22" s="26">
        <v>8.1999999999999993</v>
      </c>
      <c r="G22" s="26">
        <v>5.7</v>
      </c>
      <c r="H22" s="26">
        <v>4.4000000000000004</v>
      </c>
      <c r="I22" s="26">
        <v>6.4</v>
      </c>
      <c r="J22" s="26">
        <v>6.9</v>
      </c>
      <c r="K22" s="26">
        <v>4.8</v>
      </c>
    </row>
    <row r="23" spans="1:11" ht="19.5" customHeight="1" x14ac:dyDescent="0.3">
      <c r="A23" s="13" t="s">
        <v>221</v>
      </c>
      <c r="B23" s="32" t="s">
        <v>742</v>
      </c>
      <c r="C23" s="35">
        <v>74.099999999999994</v>
      </c>
      <c r="D23" s="22">
        <v>8.5</v>
      </c>
      <c r="E23" s="22">
        <v>4.0999999999999996</v>
      </c>
      <c r="F23" s="22">
        <v>8.1</v>
      </c>
      <c r="G23" s="22">
        <v>4.9000000000000004</v>
      </c>
      <c r="H23" s="22">
        <v>5.8</v>
      </c>
      <c r="I23" s="22">
        <v>6.2</v>
      </c>
      <c r="J23" s="22">
        <v>4.5</v>
      </c>
      <c r="K23" s="22">
        <v>7.3</v>
      </c>
    </row>
    <row r="24" spans="1:11" ht="19.5" customHeight="1" x14ac:dyDescent="0.3">
      <c r="A24" s="17" t="s">
        <v>91</v>
      </c>
      <c r="B24" s="31" t="s">
        <v>743</v>
      </c>
      <c r="C24" s="35">
        <v>72</v>
      </c>
      <c r="D24" s="26">
        <v>8</v>
      </c>
      <c r="E24" s="26">
        <v>4</v>
      </c>
      <c r="F24" s="26">
        <v>6</v>
      </c>
      <c r="G24" s="26">
        <v>4.5</v>
      </c>
      <c r="H24" s="26">
        <v>6.9</v>
      </c>
      <c r="I24" s="26">
        <v>8.1</v>
      </c>
      <c r="J24" s="26">
        <v>6.1</v>
      </c>
      <c r="K24" s="26">
        <v>7.1</v>
      </c>
    </row>
    <row r="25" spans="1:11" ht="19.5" customHeight="1" x14ac:dyDescent="0.3">
      <c r="A25" s="13" t="s">
        <v>215</v>
      </c>
      <c r="B25" s="32" t="s">
        <v>744</v>
      </c>
      <c r="C25" s="35">
        <v>71.900000000000006</v>
      </c>
      <c r="D25" s="22">
        <v>4.7</v>
      </c>
      <c r="E25" s="22">
        <v>6.5</v>
      </c>
      <c r="F25" s="22">
        <v>7.1</v>
      </c>
      <c r="G25" s="22">
        <v>6.5</v>
      </c>
      <c r="H25" s="22">
        <v>4.4000000000000004</v>
      </c>
      <c r="I25" s="22">
        <v>5.3</v>
      </c>
      <c r="J25" s="22">
        <v>8</v>
      </c>
      <c r="K25" s="22">
        <v>3.8</v>
      </c>
    </row>
    <row r="26" spans="1:11" ht="19.5" customHeight="1" x14ac:dyDescent="0.3">
      <c r="A26" s="17" t="s">
        <v>179</v>
      </c>
      <c r="B26" s="31" t="s">
        <v>745</v>
      </c>
      <c r="C26" s="33">
        <v>70</v>
      </c>
      <c r="D26" s="26">
        <v>5</v>
      </c>
      <c r="E26" s="26">
        <v>6.2</v>
      </c>
      <c r="F26" s="26">
        <v>7</v>
      </c>
      <c r="G26" s="26">
        <v>5.0999999999999996</v>
      </c>
      <c r="H26" s="26">
        <v>5.2</v>
      </c>
      <c r="I26" s="26">
        <v>6.2</v>
      </c>
      <c r="J26" s="26">
        <v>7.6</v>
      </c>
      <c r="K26" s="26">
        <v>5</v>
      </c>
    </row>
    <row r="27" spans="1:11" ht="19.5" customHeight="1" x14ac:dyDescent="0.3">
      <c r="A27" s="13" t="s">
        <v>118</v>
      </c>
      <c r="B27" s="32" t="s">
        <v>746</v>
      </c>
      <c r="C27" s="33">
        <v>69.8</v>
      </c>
      <c r="D27" s="22">
        <v>6.9</v>
      </c>
      <c r="E27" s="22">
        <v>5.5</v>
      </c>
      <c r="F27" s="22">
        <v>6.1</v>
      </c>
      <c r="G27" s="22">
        <v>4.7</v>
      </c>
      <c r="H27" s="22">
        <v>5.7</v>
      </c>
      <c r="I27" s="22">
        <v>4.5</v>
      </c>
      <c r="J27" s="22">
        <v>6.3</v>
      </c>
      <c r="K27" s="22">
        <v>6.3</v>
      </c>
    </row>
    <row r="28" spans="1:11" ht="19.5" customHeight="1" x14ac:dyDescent="0.3">
      <c r="A28" s="17" t="s">
        <v>245</v>
      </c>
      <c r="B28" s="31" t="s">
        <v>747</v>
      </c>
      <c r="C28" s="33">
        <v>68.2</v>
      </c>
      <c r="D28" s="26">
        <v>4.4000000000000004</v>
      </c>
      <c r="E28" s="26">
        <v>5.0999999999999996</v>
      </c>
      <c r="F28" s="26">
        <v>8.3000000000000007</v>
      </c>
      <c r="G28" s="26">
        <v>7.1</v>
      </c>
      <c r="H28" s="26">
        <v>4.8</v>
      </c>
      <c r="I28" s="26">
        <v>5.7</v>
      </c>
      <c r="J28" s="26">
        <v>6.8</v>
      </c>
      <c r="K28" s="26">
        <v>5.0999999999999996</v>
      </c>
    </row>
    <row r="29" spans="1:11" ht="19.5" customHeight="1" x14ac:dyDescent="0.3">
      <c r="A29" s="13" t="s">
        <v>284</v>
      </c>
      <c r="B29" s="32" t="s">
        <v>748</v>
      </c>
      <c r="C29" s="33">
        <v>68</v>
      </c>
      <c r="D29" s="22">
        <v>6.1</v>
      </c>
      <c r="E29" s="22">
        <v>4.9000000000000004</v>
      </c>
      <c r="F29" s="22">
        <v>7.1</v>
      </c>
      <c r="G29" s="22">
        <v>3.7</v>
      </c>
      <c r="H29" s="22">
        <v>4.3</v>
      </c>
      <c r="I29" s="22">
        <v>3.5</v>
      </c>
      <c r="J29" s="22">
        <v>7.5</v>
      </c>
      <c r="K29" s="22">
        <v>3.5</v>
      </c>
    </row>
    <row r="30" spans="1:11" ht="19.5" customHeight="1" x14ac:dyDescent="0.3">
      <c r="A30" s="17" t="s">
        <v>110</v>
      </c>
      <c r="B30" s="31" t="s">
        <v>749</v>
      </c>
      <c r="C30" s="33">
        <v>65.599999999999994</v>
      </c>
      <c r="D30" s="26">
        <v>7</v>
      </c>
      <c r="E30" s="26">
        <v>4.4000000000000004</v>
      </c>
      <c r="F30" s="26">
        <v>6.9</v>
      </c>
      <c r="G30" s="26">
        <v>5.7</v>
      </c>
      <c r="H30" s="26">
        <v>4.4000000000000004</v>
      </c>
      <c r="I30" s="26">
        <v>4.0999999999999996</v>
      </c>
      <c r="J30" s="26">
        <v>4.7</v>
      </c>
      <c r="K30" s="26">
        <v>5.9</v>
      </c>
    </row>
    <row r="31" spans="1:11" ht="19.5" customHeight="1" x14ac:dyDescent="0.3">
      <c r="A31" s="13" t="s">
        <v>268</v>
      </c>
      <c r="B31" s="32" t="s">
        <v>750</v>
      </c>
      <c r="C31" s="33">
        <v>65.3</v>
      </c>
      <c r="D31" s="22">
        <v>4.3</v>
      </c>
      <c r="E31" s="22">
        <v>3.2</v>
      </c>
      <c r="F31" s="22">
        <v>9.5</v>
      </c>
      <c r="G31" s="22">
        <v>2.7</v>
      </c>
      <c r="H31" s="22">
        <v>4.8</v>
      </c>
      <c r="I31" s="22">
        <v>3.6</v>
      </c>
      <c r="J31" s="22">
        <v>7.6</v>
      </c>
      <c r="K31" s="22">
        <v>3.8</v>
      </c>
    </row>
    <row r="32" spans="1:11" ht="19.5" customHeight="1" x14ac:dyDescent="0.3">
      <c r="A32" s="17" t="s">
        <v>185</v>
      </c>
      <c r="B32" s="31" t="s">
        <v>751</v>
      </c>
      <c r="C32" s="33">
        <v>65.099999999999994</v>
      </c>
      <c r="D32" s="26">
        <v>4.0999999999999996</v>
      </c>
      <c r="E32" s="26">
        <v>1.4</v>
      </c>
      <c r="F32" s="26">
        <v>9.5</v>
      </c>
      <c r="G32" s="26">
        <v>3</v>
      </c>
      <c r="H32" s="26">
        <v>5.7</v>
      </c>
      <c r="I32" s="26">
        <v>3.6</v>
      </c>
      <c r="J32" s="26">
        <v>8</v>
      </c>
      <c r="K32" s="26">
        <v>2.9</v>
      </c>
    </row>
    <row r="33" spans="1:11" ht="19.5" customHeight="1" x14ac:dyDescent="0.3">
      <c r="A33" s="13" t="s">
        <v>192</v>
      </c>
      <c r="B33" s="32" t="s">
        <v>752</v>
      </c>
      <c r="C33" s="33">
        <v>65.099999999999994</v>
      </c>
      <c r="D33" s="22">
        <v>6.5</v>
      </c>
      <c r="E33" s="22">
        <v>3.1</v>
      </c>
      <c r="F33" s="22">
        <v>6.5</v>
      </c>
      <c r="G33" s="22">
        <v>3.2</v>
      </c>
      <c r="H33" s="22">
        <v>6.1</v>
      </c>
      <c r="I33" s="22">
        <v>3.3</v>
      </c>
      <c r="J33" s="22">
        <v>8.1</v>
      </c>
      <c r="K33" s="22">
        <v>4.7</v>
      </c>
    </row>
    <row r="34" spans="1:11" ht="19.5" customHeight="1" x14ac:dyDescent="0.3">
      <c r="A34" s="17" t="s">
        <v>230</v>
      </c>
      <c r="B34" s="31" t="s">
        <v>753</v>
      </c>
      <c r="C34" s="33">
        <v>61.9</v>
      </c>
      <c r="D34" s="26">
        <v>4.8</v>
      </c>
      <c r="E34" s="26">
        <v>2.2000000000000002</v>
      </c>
      <c r="F34" s="26">
        <v>1.6</v>
      </c>
      <c r="G34" s="26">
        <v>9.5</v>
      </c>
      <c r="H34" s="26">
        <v>5.3</v>
      </c>
      <c r="I34" s="26">
        <v>6.9</v>
      </c>
      <c r="J34" s="26">
        <v>4.2</v>
      </c>
      <c r="K34" s="26">
        <v>7</v>
      </c>
    </row>
    <row r="35" spans="1:11" ht="19.5" customHeight="1" x14ac:dyDescent="0.3">
      <c r="A35" s="13" t="s">
        <v>204</v>
      </c>
      <c r="B35" s="32" t="s">
        <v>754</v>
      </c>
      <c r="C35" s="33">
        <v>60.8</v>
      </c>
      <c r="D35" s="22">
        <v>6.4</v>
      </c>
      <c r="E35" s="22">
        <v>2.6</v>
      </c>
      <c r="F35" s="22">
        <v>4.5999999999999996</v>
      </c>
      <c r="G35" s="22">
        <v>6.7</v>
      </c>
      <c r="H35" s="22">
        <v>4.7</v>
      </c>
      <c r="I35" s="22">
        <v>4.5999999999999996</v>
      </c>
      <c r="J35" s="22">
        <v>5.4</v>
      </c>
      <c r="K35" s="22">
        <v>6.4</v>
      </c>
    </row>
    <row r="36" spans="1:11" ht="19.5" customHeight="1" x14ac:dyDescent="0.3">
      <c r="A36" s="17" t="s">
        <v>249</v>
      </c>
      <c r="B36" s="31" t="s">
        <v>755</v>
      </c>
      <c r="C36" s="33">
        <v>60.3</v>
      </c>
      <c r="D36" s="26">
        <v>8.1</v>
      </c>
      <c r="E36" s="26">
        <v>3.6</v>
      </c>
      <c r="F36" s="26">
        <v>4.2</v>
      </c>
      <c r="G36" s="26">
        <v>5.9</v>
      </c>
      <c r="H36" s="26">
        <v>6.9</v>
      </c>
      <c r="I36" s="26">
        <v>6.8</v>
      </c>
      <c r="J36" s="26">
        <v>3.1</v>
      </c>
      <c r="K36" s="26">
        <v>7.2</v>
      </c>
    </row>
    <row r="37" spans="1:11" ht="19.5" customHeight="1" x14ac:dyDescent="0.3">
      <c r="A37" s="13" t="s">
        <v>198</v>
      </c>
      <c r="B37" s="32" t="s">
        <v>756</v>
      </c>
      <c r="C37" s="33">
        <v>59.5</v>
      </c>
      <c r="D37" s="22">
        <v>5.9</v>
      </c>
      <c r="E37" s="22">
        <v>3.2</v>
      </c>
      <c r="F37" s="22">
        <v>2.2000000000000002</v>
      </c>
      <c r="G37" s="22">
        <v>5.6</v>
      </c>
      <c r="H37" s="22">
        <v>3.8</v>
      </c>
      <c r="I37" s="22">
        <v>5.6</v>
      </c>
      <c r="J37" s="22">
        <v>7.6</v>
      </c>
      <c r="K37" s="22">
        <v>4.5</v>
      </c>
    </row>
    <row r="38" spans="1:11" ht="19.5" customHeight="1" x14ac:dyDescent="0.3">
      <c r="A38" s="17" t="s">
        <v>295</v>
      </c>
      <c r="B38" s="31" t="s">
        <v>757</v>
      </c>
      <c r="C38" s="33">
        <v>58.3</v>
      </c>
      <c r="D38" s="26">
        <v>4.4000000000000004</v>
      </c>
      <c r="E38" s="26">
        <v>3.9</v>
      </c>
      <c r="F38" s="26">
        <v>4.8</v>
      </c>
      <c r="G38" s="26">
        <v>4.7</v>
      </c>
      <c r="H38" s="26">
        <v>3.5</v>
      </c>
      <c r="I38" s="26">
        <v>3.6</v>
      </c>
      <c r="J38" s="26">
        <v>8</v>
      </c>
      <c r="K38" s="26">
        <v>3.8</v>
      </c>
    </row>
    <row r="39" spans="1:11" ht="19.5" customHeight="1" x14ac:dyDescent="0.3">
      <c r="A39" s="13" t="s">
        <v>242</v>
      </c>
      <c r="B39" s="32" t="s">
        <v>758</v>
      </c>
      <c r="C39" s="33">
        <v>55</v>
      </c>
      <c r="D39" s="22">
        <v>5.0999999999999996</v>
      </c>
      <c r="E39" s="22">
        <v>3.2</v>
      </c>
      <c r="F39" s="22">
        <v>4.8</v>
      </c>
      <c r="G39" s="22">
        <v>4.0999999999999996</v>
      </c>
      <c r="H39" s="22">
        <v>3.5</v>
      </c>
      <c r="I39" s="22">
        <v>3</v>
      </c>
      <c r="J39" s="22">
        <v>6.5</v>
      </c>
      <c r="K39" s="22">
        <v>3.7</v>
      </c>
    </row>
    <row r="40" spans="1:11" ht="19.5" customHeight="1" x14ac:dyDescent="0.3">
      <c r="A40" s="17" t="s">
        <v>265</v>
      </c>
      <c r="B40" s="31" t="s">
        <v>759</v>
      </c>
      <c r="C40" s="33">
        <v>53</v>
      </c>
      <c r="D40" s="26">
        <v>4.5</v>
      </c>
      <c r="E40" s="26">
        <v>4</v>
      </c>
      <c r="F40" s="26">
        <v>5.4</v>
      </c>
      <c r="G40" s="26">
        <v>5.6</v>
      </c>
      <c r="H40" s="26">
        <v>4</v>
      </c>
      <c r="I40" s="26">
        <v>4</v>
      </c>
      <c r="J40" s="26">
        <v>4.4000000000000004</v>
      </c>
      <c r="K40" s="26">
        <v>5</v>
      </c>
    </row>
    <row r="41" spans="1:11" ht="19.5" customHeight="1" x14ac:dyDescent="0.3">
      <c r="A41" s="13" t="s">
        <v>187</v>
      </c>
      <c r="B41" s="32" t="s">
        <v>760</v>
      </c>
      <c r="C41" s="33">
        <v>51.8</v>
      </c>
      <c r="D41" s="22">
        <v>5.4</v>
      </c>
      <c r="E41" s="22">
        <v>4.4000000000000004</v>
      </c>
      <c r="F41" s="22">
        <v>4</v>
      </c>
      <c r="G41" s="22">
        <v>5.2</v>
      </c>
      <c r="H41" s="22">
        <v>4.7</v>
      </c>
      <c r="I41" s="22">
        <v>4.4000000000000004</v>
      </c>
      <c r="J41" s="22">
        <v>3.5</v>
      </c>
      <c r="K41" s="22">
        <v>3.9</v>
      </c>
    </row>
    <row r="42" spans="1:11" ht="19.5" customHeight="1" x14ac:dyDescent="0.3">
      <c r="A42" s="17" t="s">
        <v>236</v>
      </c>
      <c r="B42" s="31" t="s">
        <v>761</v>
      </c>
      <c r="C42" s="33">
        <v>51.2</v>
      </c>
      <c r="D42" s="26">
        <v>4.4000000000000004</v>
      </c>
      <c r="E42" s="26">
        <v>2</v>
      </c>
      <c r="F42" s="26">
        <v>4.7</v>
      </c>
      <c r="G42" s="26">
        <v>2.5</v>
      </c>
      <c r="H42" s="26">
        <v>4.8</v>
      </c>
      <c r="I42" s="26">
        <v>2.6</v>
      </c>
      <c r="J42" s="26">
        <v>7.2</v>
      </c>
      <c r="K42" s="26">
        <v>2.7</v>
      </c>
    </row>
    <row r="43" spans="1:11" ht="19.5" customHeight="1" x14ac:dyDescent="0.3">
      <c r="A43" s="13" t="s">
        <v>183</v>
      </c>
      <c r="B43" s="32" t="s">
        <v>762</v>
      </c>
      <c r="C43" s="34">
        <v>49.2</v>
      </c>
      <c r="D43" s="22">
        <v>6.3</v>
      </c>
      <c r="E43" s="22">
        <v>2.5</v>
      </c>
      <c r="F43" s="22">
        <v>2.2999999999999998</v>
      </c>
      <c r="G43" s="22">
        <v>4.4000000000000004</v>
      </c>
      <c r="H43" s="22">
        <v>4.7</v>
      </c>
      <c r="I43" s="22">
        <v>4.5</v>
      </c>
      <c r="J43" s="22">
        <v>1.8</v>
      </c>
      <c r="K43" s="22">
        <v>5.3</v>
      </c>
    </row>
    <row r="44" spans="1:11" ht="19.5" customHeight="1" x14ac:dyDescent="0.3">
      <c r="A44" s="17" t="s">
        <v>77</v>
      </c>
      <c r="B44" s="31" t="s">
        <v>763</v>
      </c>
      <c r="C44" s="34">
        <v>48.7</v>
      </c>
      <c r="D44" s="26">
        <v>4.9000000000000004</v>
      </c>
      <c r="E44" s="26">
        <v>2.4</v>
      </c>
      <c r="F44" s="26">
        <v>6.2</v>
      </c>
      <c r="G44" s="26">
        <v>3.6</v>
      </c>
      <c r="H44" s="26">
        <v>6</v>
      </c>
      <c r="I44" s="26">
        <v>3.5</v>
      </c>
      <c r="J44" s="26">
        <v>3.7</v>
      </c>
      <c r="K44" s="26">
        <v>4.9000000000000004</v>
      </c>
    </row>
    <row r="45" spans="1:11" ht="19.5" customHeight="1" x14ac:dyDescent="0.3">
      <c r="A45" s="13" t="s">
        <v>254</v>
      </c>
      <c r="B45" s="32" t="s">
        <v>764</v>
      </c>
      <c r="C45" s="34">
        <v>48.7</v>
      </c>
      <c r="D45" s="22">
        <v>4.2</v>
      </c>
      <c r="E45" s="22">
        <v>1.6</v>
      </c>
      <c r="F45" s="22">
        <v>2.9</v>
      </c>
      <c r="G45" s="22">
        <v>1.4</v>
      </c>
      <c r="H45" s="22">
        <v>4.0999999999999996</v>
      </c>
      <c r="I45" s="22">
        <v>4.4000000000000004</v>
      </c>
      <c r="J45" s="22">
        <v>7.2</v>
      </c>
      <c r="K45" s="22">
        <v>3.1</v>
      </c>
    </row>
    <row r="46" spans="1:11" ht="19.5" customHeight="1" x14ac:dyDescent="0.3">
      <c r="A46" s="17" t="s">
        <v>130</v>
      </c>
      <c r="B46" s="31" t="s">
        <v>765</v>
      </c>
      <c r="C46" s="34">
        <v>46.4</v>
      </c>
      <c r="D46" s="26">
        <v>5.7</v>
      </c>
      <c r="E46" s="26">
        <v>1.6</v>
      </c>
      <c r="F46" s="26">
        <v>3.2</v>
      </c>
      <c r="G46" s="26">
        <v>2.9</v>
      </c>
      <c r="H46" s="26">
        <v>5.3</v>
      </c>
      <c r="I46" s="26">
        <v>6.6</v>
      </c>
      <c r="J46" s="26">
        <v>3.4</v>
      </c>
      <c r="K46" s="26">
        <v>4.2</v>
      </c>
    </row>
    <row r="47" spans="1:11" ht="19.5" customHeight="1" x14ac:dyDescent="0.3">
      <c r="A47" s="13" t="s">
        <v>293</v>
      </c>
      <c r="B47" s="32" t="s">
        <v>766</v>
      </c>
      <c r="C47" s="34">
        <v>45.3</v>
      </c>
      <c r="D47" s="22">
        <v>5.2</v>
      </c>
      <c r="E47" s="22">
        <v>2.2000000000000002</v>
      </c>
      <c r="F47" s="22">
        <v>6.5</v>
      </c>
      <c r="G47" s="22">
        <v>1.7</v>
      </c>
      <c r="H47" s="22">
        <v>4</v>
      </c>
      <c r="I47" s="22">
        <v>2.1</v>
      </c>
      <c r="J47" s="22">
        <v>4.2</v>
      </c>
      <c r="K47" s="22">
        <v>2.2000000000000002</v>
      </c>
    </row>
    <row r="48" spans="1:11" ht="19.5" customHeight="1" x14ac:dyDescent="0.3">
      <c r="A48" s="17" t="s">
        <v>259</v>
      </c>
      <c r="B48" s="31" t="s">
        <v>767</v>
      </c>
      <c r="C48" s="34">
        <v>45.2</v>
      </c>
      <c r="D48" s="26">
        <v>3.8</v>
      </c>
      <c r="E48" s="26">
        <v>5.9</v>
      </c>
      <c r="F48" s="26">
        <v>5</v>
      </c>
      <c r="G48" s="26">
        <v>4.5999999999999996</v>
      </c>
      <c r="H48" s="26">
        <v>2.4</v>
      </c>
      <c r="I48" s="26">
        <v>3.6</v>
      </c>
      <c r="J48" s="26">
        <v>3.7</v>
      </c>
      <c r="K48" s="26">
        <v>3</v>
      </c>
    </row>
    <row r="49" spans="1:11" ht="19.5" customHeight="1" x14ac:dyDescent="0.3">
      <c r="A49" s="13" t="s">
        <v>228</v>
      </c>
      <c r="B49" s="32" t="s">
        <v>768</v>
      </c>
      <c r="C49" s="34">
        <v>44.1</v>
      </c>
      <c r="D49" s="22">
        <v>4.8</v>
      </c>
      <c r="E49" s="22">
        <v>1.7</v>
      </c>
      <c r="F49" s="22">
        <v>7.1</v>
      </c>
      <c r="G49" s="22">
        <v>2.4</v>
      </c>
      <c r="H49" s="22">
        <v>3.6</v>
      </c>
      <c r="I49" s="22">
        <v>1</v>
      </c>
      <c r="J49" s="22">
        <v>3.3</v>
      </c>
      <c r="K49" s="22">
        <v>1.6</v>
      </c>
    </row>
    <row r="50" spans="1:11" ht="19.5" customHeight="1" x14ac:dyDescent="0.3">
      <c r="A50" s="17" t="s">
        <v>278</v>
      </c>
      <c r="B50" s="31" t="s">
        <v>769</v>
      </c>
      <c r="C50" s="34">
        <v>43.5</v>
      </c>
      <c r="D50" s="26">
        <v>3.3</v>
      </c>
      <c r="E50" s="26">
        <v>1.9</v>
      </c>
      <c r="F50" s="26">
        <v>7.3</v>
      </c>
      <c r="G50" s="26">
        <v>1</v>
      </c>
      <c r="H50" s="26">
        <v>3.5</v>
      </c>
      <c r="I50" s="26">
        <v>4.5</v>
      </c>
      <c r="J50" s="26">
        <v>6.3</v>
      </c>
      <c r="K50" s="26">
        <v>2.9</v>
      </c>
    </row>
    <row r="51" spans="1:11" ht="19.5" customHeight="1" x14ac:dyDescent="0.3">
      <c r="A51" s="13" t="s">
        <v>126</v>
      </c>
      <c r="B51" s="32" t="s">
        <v>770</v>
      </c>
      <c r="C51" s="34">
        <v>42.2</v>
      </c>
      <c r="D51" s="22">
        <v>5.9</v>
      </c>
      <c r="E51" s="22">
        <v>1.5</v>
      </c>
      <c r="F51" s="22">
        <v>3.8</v>
      </c>
      <c r="G51" s="22">
        <v>3.3</v>
      </c>
      <c r="H51" s="22">
        <v>4.9000000000000004</v>
      </c>
      <c r="I51" s="22">
        <v>4</v>
      </c>
      <c r="J51" s="22">
        <v>4.4000000000000004</v>
      </c>
      <c r="K51" s="22">
        <v>3.9</v>
      </c>
    </row>
    <row r="52" spans="1:11" ht="19.5" customHeight="1" x14ac:dyDescent="0.3">
      <c r="A52" s="17" t="s">
        <v>291</v>
      </c>
      <c r="B52" s="31" t="s">
        <v>771</v>
      </c>
      <c r="C52" s="34">
        <v>41.9</v>
      </c>
      <c r="D52" s="26">
        <v>3.4</v>
      </c>
      <c r="E52" s="26">
        <v>2.4</v>
      </c>
      <c r="F52" s="26">
        <v>6.1</v>
      </c>
      <c r="G52" s="26">
        <v>2.4</v>
      </c>
      <c r="H52" s="26">
        <v>3.7</v>
      </c>
      <c r="I52" s="26">
        <v>5</v>
      </c>
      <c r="J52" s="26">
        <v>3.6</v>
      </c>
      <c r="K52" s="26">
        <v>2.6</v>
      </c>
    </row>
    <row r="53" spans="1:11" ht="19.5" customHeight="1" x14ac:dyDescent="0.3">
      <c r="A53" s="13" t="s">
        <v>263</v>
      </c>
      <c r="B53" s="32" t="s">
        <v>772</v>
      </c>
      <c r="C53" s="34">
        <v>40.5</v>
      </c>
      <c r="D53" s="22">
        <v>3</v>
      </c>
      <c r="E53" s="22">
        <v>1.3</v>
      </c>
      <c r="F53" s="22">
        <v>2.8</v>
      </c>
      <c r="G53" s="22">
        <v>1.1000000000000001</v>
      </c>
      <c r="H53" s="22">
        <v>5.3</v>
      </c>
      <c r="I53" s="22">
        <v>1.1000000000000001</v>
      </c>
      <c r="J53" s="22">
        <v>6.4</v>
      </c>
      <c r="K53" s="22">
        <v>2.2999999999999998</v>
      </c>
    </row>
    <row r="54" spans="1:11" ht="19.5" customHeight="1" x14ac:dyDescent="0.3">
      <c r="A54" s="17" t="s">
        <v>196</v>
      </c>
      <c r="B54" s="31" t="s">
        <v>773</v>
      </c>
      <c r="C54" s="34">
        <v>40.4</v>
      </c>
      <c r="D54" s="26">
        <v>2.9</v>
      </c>
      <c r="E54" s="26">
        <v>4.9000000000000004</v>
      </c>
      <c r="F54" s="26">
        <v>2.4</v>
      </c>
      <c r="G54" s="26">
        <v>2.9</v>
      </c>
      <c r="H54" s="26">
        <v>5.0999999999999996</v>
      </c>
      <c r="I54" s="26">
        <v>5.5</v>
      </c>
      <c r="J54" s="26">
        <v>1.2</v>
      </c>
      <c r="K54" s="26">
        <v>4.0999999999999996</v>
      </c>
    </row>
    <row r="55" spans="1:11" ht="19.5" customHeight="1" x14ac:dyDescent="0.3">
      <c r="A55" s="13" t="s">
        <v>289</v>
      </c>
      <c r="B55" s="32" t="s">
        <v>774</v>
      </c>
      <c r="C55" s="34">
        <v>37</v>
      </c>
      <c r="D55" s="22">
        <v>3.6</v>
      </c>
      <c r="E55" s="22">
        <v>1.4</v>
      </c>
      <c r="F55" s="22">
        <v>2.2000000000000002</v>
      </c>
      <c r="G55" s="22">
        <v>2.1</v>
      </c>
      <c r="H55" s="22">
        <v>3.1</v>
      </c>
      <c r="I55" s="22">
        <v>1.6</v>
      </c>
      <c r="J55" s="22">
        <v>6.4</v>
      </c>
      <c r="K55" s="22">
        <v>2.1</v>
      </c>
    </row>
    <row r="56" spans="1:11" ht="19.5" customHeight="1" x14ac:dyDescent="0.3">
      <c r="A56" s="17" t="s">
        <v>276</v>
      </c>
      <c r="B56" s="31" t="s">
        <v>775</v>
      </c>
      <c r="C56" s="34">
        <v>31.5</v>
      </c>
      <c r="D56" s="26">
        <v>2.5</v>
      </c>
      <c r="E56" s="26">
        <v>1.1000000000000001</v>
      </c>
      <c r="F56" s="26">
        <v>2.8</v>
      </c>
      <c r="G56" s="26">
        <v>3.4</v>
      </c>
      <c r="H56" s="26">
        <v>2.8</v>
      </c>
      <c r="I56" s="26">
        <v>1.6</v>
      </c>
      <c r="J56" s="26">
        <v>2.4</v>
      </c>
      <c r="K56" s="26">
        <v>2.4</v>
      </c>
    </row>
    <row r="57" spans="1:11" ht="19.5" customHeight="1" x14ac:dyDescent="0.3">
      <c r="A57" s="13" t="s">
        <v>232</v>
      </c>
      <c r="B57" s="32" t="s">
        <v>776</v>
      </c>
      <c r="C57" s="34">
        <v>30.5</v>
      </c>
      <c r="D57" s="22">
        <v>5.9</v>
      </c>
      <c r="E57" s="22">
        <v>2.6</v>
      </c>
      <c r="F57" s="22">
        <v>1.9</v>
      </c>
      <c r="G57" s="22">
        <v>2.7</v>
      </c>
      <c r="H57" s="22">
        <v>2.9</v>
      </c>
      <c r="I57" s="22">
        <v>3.5</v>
      </c>
      <c r="J57" s="22">
        <v>0.3</v>
      </c>
      <c r="K57" s="22">
        <v>1.8</v>
      </c>
    </row>
    <row r="58" spans="1:11" ht="19.5" customHeight="1" x14ac:dyDescent="0.3">
      <c r="A58" s="17" t="s">
        <v>213</v>
      </c>
      <c r="B58" s="31" t="s">
        <v>777</v>
      </c>
      <c r="C58" s="36">
        <v>28.8</v>
      </c>
      <c r="D58" s="26">
        <v>3.1</v>
      </c>
      <c r="E58" s="26">
        <v>2.4</v>
      </c>
      <c r="F58" s="26">
        <v>6.4</v>
      </c>
      <c r="G58" s="26">
        <v>2</v>
      </c>
      <c r="H58" s="26">
        <v>2.9</v>
      </c>
      <c r="I58" s="26">
        <v>3.4</v>
      </c>
      <c r="J58" s="26">
        <v>1</v>
      </c>
      <c r="K58" s="26">
        <v>1.2</v>
      </c>
    </row>
    <row r="59" spans="1:11" ht="19.5" customHeight="1" x14ac:dyDescent="0.3">
      <c r="A59" s="13" t="s">
        <v>261</v>
      </c>
      <c r="B59" s="32" t="s">
        <v>778</v>
      </c>
      <c r="C59" s="36">
        <v>25.7</v>
      </c>
      <c r="D59" s="22">
        <v>4</v>
      </c>
      <c r="E59" s="22">
        <v>1.4</v>
      </c>
      <c r="F59" s="22">
        <v>0.7</v>
      </c>
      <c r="G59" s="22">
        <v>3.1</v>
      </c>
      <c r="H59" s="22">
        <v>2.4</v>
      </c>
      <c r="I59" s="22">
        <v>3.9</v>
      </c>
      <c r="J59" s="22">
        <v>0.8</v>
      </c>
      <c r="K59" s="22">
        <v>2.7</v>
      </c>
    </row>
    <row r="60" spans="1:11" ht="19.5" customHeight="1" x14ac:dyDescent="0.3">
      <c r="A60" s="17" t="s">
        <v>270</v>
      </c>
      <c r="B60" s="31" t="s">
        <v>779</v>
      </c>
      <c r="C60" s="36">
        <v>25.5</v>
      </c>
      <c r="D60" s="26">
        <v>2.5</v>
      </c>
      <c r="E60" s="26">
        <v>0.5</v>
      </c>
      <c r="F60" s="26">
        <v>2.8</v>
      </c>
      <c r="G60" s="26">
        <v>1.3</v>
      </c>
      <c r="H60" s="26">
        <v>3.4</v>
      </c>
      <c r="I60" s="26">
        <v>1</v>
      </c>
      <c r="J60" s="26">
        <v>3.7</v>
      </c>
      <c r="K60" s="26">
        <v>1</v>
      </c>
    </row>
    <row r="61" spans="1:11" ht="19.5" customHeight="1" x14ac:dyDescent="0.3">
      <c r="A61" s="13" t="s">
        <v>217</v>
      </c>
      <c r="B61" s="32" t="s">
        <v>780</v>
      </c>
      <c r="C61" s="36">
        <v>24.6</v>
      </c>
      <c r="D61" s="22">
        <v>2.2999999999999998</v>
      </c>
      <c r="E61" s="22">
        <v>4.5</v>
      </c>
      <c r="F61" s="22">
        <v>3.4</v>
      </c>
      <c r="G61" s="22">
        <v>1.9</v>
      </c>
      <c r="H61" s="22">
        <v>2.7</v>
      </c>
      <c r="I61" s="22">
        <v>1.5</v>
      </c>
      <c r="J61" s="22">
        <v>0.7</v>
      </c>
      <c r="K61" s="22">
        <v>1.5</v>
      </c>
    </row>
    <row r="62" spans="1:11" ht="19.5" customHeight="1" x14ac:dyDescent="0.3">
      <c r="A62" s="17" t="s">
        <v>111</v>
      </c>
      <c r="B62" s="31" t="s">
        <v>781</v>
      </c>
      <c r="C62" s="36">
        <v>22</v>
      </c>
      <c r="D62" s="26">
        <v>3.8</v>
      </c>
      <c r="E62" s="26">
        <v>1.7</v>
      </c>
      <c r="F62" s="26">
        <v>2.9</v>
      </c>
      <c r="G62" s="26">
        <v>0.4</v>
      </c>
      <c r="H62" s="26">
        <v>2.6</v>
      </c>
      <c r="I62" s="26">
        <v>1.6</v>
      </c>
      <c r="J62" s="26">
        <v>0.4</v>
      </c>
      <c r="K62" s="26">
        <v>2.2000000000000002</v>
      </c>
    </row>
    <row r="63" spans="1:11" ht="19.5" customHeight="1" x14ac:dyDescent="0.3">
      <c r="A63" s="13" t="s">
        <v>280</v>
      </c>
      <c r="B63" s="32" t="s">
        <v>782</v>
      </c>
      <c r="C63" s="36">
        <v>20.6</v>
      </c>
      <c r="D63" s="22">
        <v>3</v>
      </c>
      <c r="E63" s="22">
        <v>3.7</v>
      </c>
      <c r="F63" s="22">
        <v>2.2999999999999998</v>
      </c>
      <c r="G63" s="22">
        <v>0.6</v>
      </c>
      <c r="H63" s="22">
        <v>2.2999999999999998</v>
      </c>
      <c r="I63" s="22">
        <v>1.3</v>
      </c>
      <c r="J63" s="22">
        <v>0.5</v>
      </c>
      <c r="K63" s="22">
        <v>1</v>
      </c>
    </row>
    <row r="64" spans="1:11" ht="19.5" customHeight="1" x14ac:dyDescent="0.3">
      <c r="A64" s="17" t="s">
        <v>189</v>
      </c>
      <c r="B64" s="31" t="s">
        <v>783</v>
      </c>
      <c r="C64" s="36">
        <v>18.899999999999999</v>
      </c>
      <c r="D64" s="26">
        <v>1.2</v>
      </c>
      <c r="E64" s="26">
        <v>2</v>
      </c>
      <c r="F64" s="26">
        <v>2</v>
      </c>
      <c r="G64" s="26">
        <v>0.7</v>
      </c>
      <c r="H64" s="26">
        <v>2.5</v>
      </c>
      <c r="I64" s="26">
        <v>1.4</v>
      </c>
      <c r="J64" s="26">
        <v>0.4</v>
      </c>
      <c r="K64" s="26">
        <v>1.7</v>
      </c>
    </row>
    <row r="65" spans="1:11" ht="19.5" customHeight="1" x14ac:dyDescent="0.3">
      <c r="A65" s="13" t="s">
        <v>200</v>
      </c>
      <c r="B65" s="32" t="s">
        <v>784</v>
      </c>
      <c r="C65" s="36">
        <v>17.899999999999999</v>
      </c>
      <c r="D65" s="22">
        <v>2.2999999999999998</v>
      </c>
      <c r="E65" s="22">
        <v>3</v>
      </c>
      <c r="F65" s="22">
        <v>3.1</v>
      </c>
      <c r="G65" s="22">
        <v>1</v>
      </c>
      <c r="H65" s="22">
        <v>1.8</v>
      </c>
      <c r="I65" s="22">
        <v>1</v>
      </c>
      <c r="J65" s="22">
        <v>0.3</v>
      </c>
      <c r="K65" s="22">
        <v>1.7</v>
      </c>
    </row>
    <row r="66" spans="1:11" ht="19.5" customHeight="1" x14ac:dyDescent="0.3">
      <c r="A66" s="17" t="s">
        <v>211</v>
      </c>
      <c r="B66" s="31" t="s">
        <v>785</v>
      </c>
      <c r="C66" s="36">
        <v>16</v>
      </c>
      <c r="D66" s="26">
        <v>1.7</v>
      </c>
      <c r="E66" s="26">
        <v>1.9</v>
      </c>
      <c r="F66" s="26">
        <v>0.3</v>
      </c>
      <c r="G66" s="26">
        <v>1.5</v>
      </c>
      <c r="H66" s="26">
        <v>1.6</v>
      </c>
      <c r="I66" s="26">
        <v>2.7</v>
      </c>
      <c r="J66" s="26">
        <v>0.4</v>
      </c>
      <c r="K66" s="26">
        <v>1</v>
      </c>
    </row>
    <row r="67" spans="1:11" ht="19.5" customHeight="1" x14ac:dyDescent="0.3">
      <c r="A67" s="13" t="s">
        <v>252</v>
      </c>
      <c r="B67" s="32" t="s">
        <v>786</v>
      </c>
      <c r="C67" s="36">
        <v>14.5</v>
      </c>
      <c r="D67" s="22">
        <v>1.4</v>
      </c>
      <c r="E67" s="22">
        <v>1.7</v>
      </c>
      <c r="F67" s="22">
        <v>3.1</v>
      </c>
      <c r="G67" s="22">
        <v>0.7</v>
      </c>
      <c r="H67" s="22">
        <v>1.4</v>
      </c>
      <c r="I67" s="22">
        <v>1.4</v>
      </c>
      <c r="J67" s="22">
        <v>0.4</v>
      </c>
      <c r="K67" s="22">
        <v>1</v>
      </c>
    </row>
  </sheetData>
  <mergeCells count="2">
    <mergeCell ref="A2:K2"/>
    <mergeCell ref="A1:K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39C12"/>
  </sheetPr>
  <dimension ref="A1:E27"/>
  <sheetViews>
    <sheetView showGridLines="0" zoomScaleNormal="100" workbookViewId="0">
      <selection activeCell="G10" sqref="G9:G10"/>
    </sheetView>
  </sheetViews>
  <sheetFormatPr defaultColWidth="8.6640625" defaultRowHeight="14.4" x14ac:dyDescent="0.3"/>
  <cols>
    <col min="1" max="1" width="32" customWidth="1"/>
    <col min="2" max="2" width="16" customWidth="1"/>
    <col min="3" max="3" width="12" customWidth="1"/>
    <col min="4" max="4" width="54.109375" customWidth="1"/>
    <col min="5" max="5" width="4" customWidth="1"/>
  </cols>
  <sheetData>
    <row r="1" spans="1:5" ht="31.5" customHeight="1" x14ac:dyDescent="0.3">
      <c r="A1" s="130" t="s">
        <v>787</v>
      </c>
      <c r="B1" s="118"/>
      <c r="C1" s="118"/>
      <c r="D1" s="118"/>
      <c r="E1" s="118"/>
    </row>
    <row r="3" spans="1:5" ht="21.75" customHeight="1" x14ac:dyDescent="0.3">
      <c r="A3" s="133" t="s">
        <v>788</v>
      </c>
      <c r="B3" s="118"/>
      <c r="C3" s="118"/>
      <c r="D3" s="118"/>
      <c r="E3" s="118"/>
    </row>
    <row r="4" spans="1:5" x14ac:dyDescent="0.3">
      <c r="A4" s="12" t="s">
        <v>789</v>
      </c>
      <c r="B4" s="12" t="s">
        <v>790</v>
      </c>
      <c r="C4" s="12" t="s">
        <v>15</v>
      </c>
      <c r="D4" s="12" t="s">
        <v>17</v>
      </c>
    </row>
    <row r="5" spans="1:5" ht="19.5" customHeight="1" x14ac:dyDescent="0.3">
      <c r="A5" s="14" t="s">
        <v>791</v>
      </c>
      <c r="B5" s="58" t="s">
        <v>792</v>
      </c>
      <c r="C5" s="59">
        <v>0.5</v>
      </c>
      <c r="D5" s="14" t="s">
        <v>793</v>
      </c>
    </row>
    <row r="6" spans="1:5" ht="19.5" customHeight="1" x14ac:dyDescent="0.3">
      <c r="A6" s="3" t="s">
        <v>794</v>
      </c>
      <c r="B6" s="60" t="s">
        <v>795</v>
      </c>
      <c r="C6" s="61">
        <v>0.25</v>
      </c>
      <c r="D6" s="3" t="s">
        <v>796</v>
      </c>
    </row>
    <row r="7" spans="1:5" ht="19.5" customHeight="1" x14ac:dyDescent="0.3">
      <c r="A7" s="14" t="s">
        <v>797</v>
      </c>
      <c r="B7" s="58" t="s">
        <v>798</v>
      </c>
      <c r="C7" s="59">
        <v>0.15</v>
      </c>
      <c r="D7" s="14" t="s">
        <v>799</v>
      </c>
    </row>
    <row r="8" spans="1:5" ht="19.5" customHeight="1" x14ac:dyDescent="0.3">
      <c r="A8" s="3" t="s">
        <v>800</v>
      </c>
      <c r="B8" s="60" t="s">
        <v>801</v>
      </c>
      <c r="C8" s="61">
        <v>0.1</v>
      </c>
      <c r="D8" s="3" t="s">
        <v>802</v>
      </c>
    </row>
    <row r="9" spans="1:5" x14ac:dyDescent="0.3">
      <c r="B9" s="62" t="s">
        <v>803</v>
      </c>
      <c r="C9" s="63">
        <f>SUM(C5:C8)</f>
        <v>1</v>
      </c>
    </row>
    <row r="11" spans="1:5" ht="21.75" customHeight="1" x14ac:dyDescent="0.3">
      <c r="A11" s="133" t="s">
        <v>804</v>
      </c>
      <c r="B11" s="118"/>
      <c r="C11" s="118"/>
      <c r="D11" s="118"/>
      <c r="E11" s="118"/>
    </row>
    <row r="12" spans="1:5" x14ac:dyDescent="0.3">
      <c r="A12" s="12" t="s">
        <v>805</v>
      </c>
      <c r="B12" s="12" t="s">
        <v>790</v>
      </c>
      <c r="C12" s="12" t="s">
        <v>15</v>
      </c>
      <c r="D12" s="12" t="s">
        <v>17</v>
      </c>
    </row>
    <row r="13" spans="1:5" ht="19.5" customHeight="1" x14ac:dyDescent="0.3">
      <c r="A13" s="14" t="s">
        <v>806</v>
      </c>
      <c r="B13" s="58" t="s">
        <v>807</v>
      </c>
      <c r="C13" s="59">
        <v>0.2</v>
      </c>
      <c r="D13" s="14" t="s">
        <v>808</v>
      </c>
    </row>
    <row r="14" spans="1:5" ht="19.5" customHeight="1" x14ac:dyDescent="0.3">
      <c r="A14" s="3" t="s">
        <v>809</v>
      </c>
      <c r="B14" s="60" t="s">
        <v>810</v>
      </c>
      <c r="C14" s="61">
        <v>0.15</v>
      </c>
      <c r="D14" s="3" t="s">
        <v>811</v>
      </c>
    </row>
    <row r="15" spans="1:5" ht="19.5" customHeight="1" x14ac:dyDescent="0.3">
      <c r="A15" s="14" t="s">
        <v>812</v>
      </c>
      <c r="B15" s="58" t="s">
        <v>813</v>
      </c>
      <c r="C15" s="59">
        <v>0.2</v>
      </c>
      <c r="D15" s="14" t="s">
        <v>814</v>
      </c>
    </row>
    <row r="16" spans="1:5" ht="19.5" customHeight="1" x14ac:dyDescent="0.3">
      <c r="A16" s="3" t="s">
        <v>815</v>
      </c>
      <c r="B16" s="60" t="s">
        <v>816</v>
      </c>
      <c r="C16" s="61">
        <v>0.15</v>
      </c>
      <c r="D16" s="3" t="s">
        <v>817</v>
      </c>
    </row>
    <row r="17" spans="1:5" ht="19.5" customHeight="1" x14ac:dyDescent="0.3">
      <c r="A17" s="14" t="s">
        <v>818</v>
      </c>
      <c r="B17" s="58" t="s">
        <v>819</v>
      </c>
      <c r="C17" s="59">
        <v>0.15</v>
      </c>
      <c r="D17" s="14" t="s">
        <v>820</v>
      </c>
    </row>
    <row r="18" spans="1:5" ht="19.5" customHeight="1" x14ac:dyDescent="0.3">
      <c r="A18" s="3" t="s">
        <v>821</v>
      </c>
      <c r="B18" s="60" t="s">
        <v>822</v>
      </c>
      <c r="C18" s="61">
        <v>0.15</v>
      </c>
      <c r="D18" s="3" t="s">
        <v>823</v>
      </c>
    </row>
    <row r="19" spans="1:5" x14ac:dyDescent="0.3">
      <c r="B19" s="62" t="s">
        <v>803</v>
      </c>
      <c r="C19" s="63">
        <f>SUM(C13:C18)</f>
        <v>1</v>
      </c>
    </row>
    <row r="21" spans="1:5" ht="21.75" customHeight="1" x14ac:dyDescent="0.3">
      <c r="A21" s="133" t="s">
        <v>824</v>
      </c>
      <c r="B21" s="118"/>
      <c r="C21" s="118"/>
      <c r="D21" s="118"/>
      <c r="E21" s="118"/>
    </row>
    <row r="22" spans="1:5" x14ac:dyDescent="0.3">
      <c r="A22" s="12" t="s">
        <v>825</v>
      </c>
      <c r="B22" s="12" t="s">
        <v>826</v>
      </c>
      <c r="C22" s="12" t="s">
        <v>827</v>
      </c>
      <c r="D22" s="12" t="s">
        <v>828</v>
      </c>
    </row>
    <row r="23" spans="1:5" ht="21.75" customHeight="1" x14ac:dyDescent="0.3">
      <c r="A23" s="31" t="s">
        <v>829</v>
      </c>
      <c r="B23" s="48" t="s">
        <v>163</v>
      </c>
      <c r="C23" s="37" t="s">
        <v>830</v>
      </c>
      <c r="D23" s="3" t="s">
        <v>831</v>
      </c>
    </row>
    <row r="24" spans="1:5" ht="21.75" customHeight="1" x14ac:dyDescent="0.3">
      <c r="A24" s="31" t="s">
        <v>832</v>
      </c>
      <c r="B24" s="29" t="s">
        <v>160</v>
      </c>
      <c r="C24" s="37" t="s">
        <v>833</v>
      </c>
      <c r="D24" s="3" t="s">
        <v>834</v>
      </c>
    </row>
    <row r="25" spans="1:5" ht="21.75" customHeight="1" x14ac:dyDescent="0.3">
      <c r="A25" s="31" t="s">
        <v>835</v>
      </c>
      <c r="B25" s="28" t="s">
        <v>162</v>
      </c>
      <c r="C25" s="37" t="s">
        <v>836</v>
      </c>
      <c r="D25" s="3" t="s">
        <v>837</v>
      </c>
    </row>
    <row r="26" spans="1:5" ht="21.75" customHeight="1" x14ac:dyDescent="0.3">
      <c r="A26" s="31" t="s">
        <v>838</v>
      </c>
      <c r="B26" s="24" t="s">
        <v>161</v>
      </c>
      <c r="C26" s="37" t="s">
        <v>839</v>
      </c>
      <c r="D26" s="3" t="s">
        <v>840</v>
      </c>
    </row>
    <row r="27" spans="1:5" ht="21.75" customHeight="1" x14ac:dyDescent="0.3">
      <c r="A27" s="31" t="s">
        <v>841</v>
      </c>
      <c r="B27" s="52" t="s">
        <v>274</v>
      </c>
      <c r="C27" s="37" t="s">
        <v>842</v>
      </c>
      <c r="D27" s="3" t="s">
        <v>843</v>
      </c>
    </row>
  </sheetData>
  <mergeCells count="4">
    <mergeCell ref="A11:E11"/>
    <mergeCell ref="A3:E3"/>
    <mergeCell ref="A21:E21"/>
    <mergeCell ref="A1:E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9B59B6"/>
  </sheetPr>
  <dimension ref="A1:C31"/>
  <sheetViews>
    <sheetView showGridLines="0" zoomScaleNormal="100" workbookViewId="0">
      <selection activeCell="B31" sqref="B31"/>
    </sheetView>
  </sheetViews>
  <sheetFormatPr defaultColWidth="8.6640625" defaultRowHeight="14.4" x14ac:dyDescent="0.3"/>
  <cols>
    <col min="1" max="1" width="4" customWidth="1"/>
    <col min="2" max="2" width="92.6640625" customWidth="1"/>
    <col min="3" max="3" width="4" customWidth="1"/>
  </cols>
  <sheetData>
    <row r="1" spans="1:3" ht="31.5" customHeight="1" x14ac:dyDescent="0.3">
      <c r="A1" s="130" t="s">
        <v>844</v>
      </c>
      <c r="B1" s="118"/>
      <c r="C1" s="118"/>
    </row>
    <row r="3" spans="1:3" ht="21.75" customHeight="1" x14ac:dyDescent="0.3">
      <c r="B3" s="1" t="s">
        <v>845</v>
      </c>
    </row>
    <row r="4" spans="1:3" ht="60" customHeight="1" x14ac:dyDescent="0.3">
      <c r="B4" s="3" t="s">
        <v>846</v>
      </c>
    </row>
    <row r="5" spans="1:3" ht="43.5" customHeight="1" x14ac:dyDescent="0.3">
      <c r="B5" s="3"/>
    </row>
    <row r="6" spans="1:3" ht="21.75" customHeight="1" x14ac:dyDescent="0.3">
      <c r="B6" s="1" t="s">
        <v>847</v>
      </c>
    </row>
    <row r="7" spans="1:3" ht="60" customHeight="1" x14ac:dyDescent="0.3">
      <c r="B7" s="3" t="s">
        <v>848</v>
      </c>
    </row>
    <row r="8" spans="1:3" ht="43.5" customHeight="1" x14ac:dyDescent="0.3">
      <c r="B8" s="3"/>
    </row>
    <row r="9" spans="1:3" ht="21.75" customHeight="1" x14ac:dyDescent="0.3">
      <c r="B9" s="1" t="s">
        <v>849</v>
      </c>
    </row>
    <row r="10" spans="1:3" ht="60" customHeight="1" x14ac:dyDescent="0.3">
      <c r="B10" s="3" t="s">
        <v>850</v>
      </c>
    </row>
    <row r="11" spans="1:3" ht="43.5" customHeight="1" x14ac:dyDescent="0.3">
      <c r="B11" s="3"/>
    </row>
    <row r="12" spans="1:3" ht="21.75" customHeight="1" x14ac:dyDescent="0.3">
      <c r="B12" s="1" t="s">
        <v>851</v>
      </c>
    </row>
    <row r="13" spans="1:3" ht="60" customHeight="1" x14ac:dyDescent="0.3">
      <c r="B13" s="3" t="s">
        <v>852</v>
      </c>
    </row>
    <row r="14" spans="1:3" ht="43.5" customHeight="1" x14ac:dyDescent="0.3">
      <c r="B14" s="3"/>
    </row>
    <row r="15" spans="1:3" ht="21.75" customHeight="1" x14ac:dyDescent="0.3">
      <c r="B15" s="1" t="s">
        <v>853</v>
      </c>
    </row>
    <row r="16" spans="1:3" ht="60" customHeight="1" x14ac:dyDescent="0.3">
      <c r="B16" s="3" t="s">
        <v>854</v>
      </c>
    </row>
    <row r="17" spans="2:2" ht="43.5" customHeight="1" x14ac:dyDescent="0.3">
      <c r="B17" s="3"/>
    </row>
    <row r="18" spans="2:2" ht="21.75" customHeight="1" x14ac:dyDescent="0.3">
      <c r="B18" s="1" t="s">
        <v>855</v>
      </c>
    </row>
    <row r="19" spans="2:2" ht="60" customHeight="1" x14ac:dyDescent="0.3">
      <c r="B19" s="3" t="s">
        <v>856</v>
      </c>
    </row>
    <row r="20" spans="2:2" ht="43.5" customHeight="1" x14ac:dyDescent="0.3">
      <c r="B20" s="3"/>
    </row>
    <row r="21" spans="2:2" ht="21.75" customHeight="1" x14ac:dyDescent="0.3">
      <c r="B21" s="1" t="s">
        <v>857</v>
      </c>
    </row>
    <row r="22" spans="2:2" ht="60" customHeight="1" x14ac:dyDescent="0.3">
      <c r="B22" s="3" t="s">
        <v>858</v>
      </c>
    </row>
    <row r="23" spans="2:2" ht="43.5" customHeight="1" x14ac:dyDescent="0.3">
      <c r="B23" s="3"/>
    </row>
    <row r="24" spans="2:2" ht="21.75" customHeight="1" x14ac:dyDescent="0.3">
      <c r="B24" s="1" t="s">
        <v>859</v>
      </c>
    </row>
    <row r="25" spans="2:2" ht="75" customHeight="1" x14ac:dyDescent="0.3">
      <c r="B25" s="3" t="s">
        <v>860</v>
      </c>
    </row>
    <row r="26" spans="2:2" ht="43.5" customHeight="1" x14ac:dyDescent="0.3">
      <c r="B26" s="3"/>
    </row>
    <row r="27" spans="2:2" ht="21.75" customHeight="1" x14ac:dyDescent="0.3">
      <c r="B27" s="1" t="s">
        <v>861</v>
      </c>
    </row>
    <row r="28" spans="2:2" ht="95.4" customHeight="1" x14ac:dyDescent="0.3">
      <c r="B28" s="3" t="s">
        <v>868</v>
      </c>
    </row>
    <row r="30" spans="2:2" ht="21.6" customHeight="1" x14ac:dyDescent="0.3">
      <c r="B30" s="1" t="s">
        <v>862</v>
      </c>
    </row>
    <row r="31" spans="2:2" ht="27.6" customHeight="1" x14ac:dyDescent="0.3">
      <c r="B31" s="99" t="s">
        <v>863</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CP_OVERVIEW</vt:lpstr>
      <vt:lpstr>RING_ENGINE</vt:lpstr>
      <vt:lpstr>ENV_SCORES</vt:lpstr>
      <vt:lpstr>COUNTRY_RISK</vt:lpstr>
      <vt:lpstr>PILLAR_SCORES</vt:lpstr>
      <vt:lpstr>RAW_INDICATORS</vt:lpstr>
      <vt:lpstr>DATA_CIA</vt:lpstr>
      <vt:lpstr>DATA_ACLED</vt:lpstr>
      <vt:lpstr>DATA_PORTWATCH</vt:lpstr>
      <vt:lpstr>DATA_FSI</vt:lpstr>
      <vt:lpstr>00_CONFIG</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Roshane Rodney</cp:lastModifiedBy>
  <cp:revision>0</cp:revision>
  <dcterms:created xsi:type="dcterms:W3CDTF">2026-07-03T21:21:57Z</dcterms:created>
  <dcterms:modified xsi:type="dcterms:W3CDTF">2026-07-05T19:11:00Z</dcterms:modified>
  <dc:language>en-US</dc:language>
</cp:coreProperties>
</file>